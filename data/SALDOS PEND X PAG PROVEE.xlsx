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92" firstSheet="0" activeTab="0" autoFilterDateGrouping="1"/>
  </bookViews>
  <sheets>
    <sheet xmlns:r="http://schemas.openxmlformats.org/officeDocument/2006/relationships" name="POR PROVEEDOR " sheetId="1" state="visible" r:id="rId1"/>
    <sheet xmlns:r="http://schemas.openxmlformats.org/officeDocument/2006/relationships" name="Datos Gráficos ODC" sheetId="2" state="hidden" r:id="rId2"/>
  </sheets>
  <definedNames>
    <definedName name="_xlcn.WorksheetConnection_PRESUPUESTOPROYECTADOFEBRERO2026.xlsxTabla11" hidden="1">Tabla1</definedName>
    <definedName name="_xlcn.WorksheetConnection_PRESUPUESTOPROYECTADOFEBRERO2026.xlsxTabla71" hidden="1">Tabla7</definedName>
  </definedNames>
  <calcPr calcId="191028" fullCalcOnLoad="1"/>
  <pivotCaches>
    <pivotCache xmlns:r="http://schemas.openxmlformats.org/officeDocument/2006/relationships" cacheId="12" r:id="rId3"/>
  </pivotCaches>
</workbook>
</file>

<file path=xl/styles.xml><?xml version="1.0" encoding="utf-8"?>
<styleSheet xmlns="http://schemas.openxmlformats.org/spreadsheetml/2006/main">
  <numFmts count="3">
    <numFmt numFmtId="164" formatCode="[$$-300A]#,##0.00"/>
    <numFmt numFmtId="165" formatCode="&quot;Bs.S&quot;#,##0.00"/>
    <numFmt numFmtId="166" formatCode="_-* #,##0.00_-;\-* #,##0.00_-;_-* &quot;-&quot;??_-;_-@_-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i val="1"/>
      <color rgb="008A6D00"/>
      <sz val="9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00FFF4C7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0" fontId="2" fillId="0" borderId="0"/>
    <xf numFmtId="43" fontId="2" fillId="0" borderId="0"/>
    <xf numFmtId="166" fontId="1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4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  <xf numFmtId="164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165" fontId="0" fillId="0" borderId="0" pivotButton="0" quotePrefix="0" xfId="0"/>
  </cellXfs>
  <cellStyles count="4">
    <cellStyle name="Normal" xfId="0" builtinId="0"/>
    <cellStyle name="Normal 2" xfId="1"/>
    <cellStyle name="Millares 2" xfId="2"/>
    <cellStyle name="Millares 3" xfId="3"/>
  </cellStyles>
  <dxfs count="13">
    <dxf>
      <alignment horizontal="general"/>
    </dxf>
    <dxf>
      <alignment horizontal="center"/>
    </dxf>
    <dxf>
      <alignment horizontal="center"/>
    </dxf>
    <dxf>
      <alignment vertical="bottom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78" formatCode="[$$-300A]#,##0.00"/>
    </dxf>
    <dxf>
      <numFmt numFmtId="178" formatCode="[$$-300A]#,##0.00"/>
    </dxf>
    <dxf>
      <font>
        <b val="1"/>
      </font>
    </dxf>
  </dxfs>
  <tableStyles count="1" defaultTableStyle="Estilo de tabla 1" defaultPivotStyle="PivotStyleLight16">
    <tableStyle name="Estilo de tabla 1" pivot="0" count="1">
      <tableStyleElement type="totalRow" dxfId="1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ISABEL SUAREZ HUETT" refreshedDate="46318.65065428241" createdVersion="8" refreshedVersion="8" minRefreshableVersion="3" recordCount="301" r:id="rId1">
  <cacheSource type="worksheet">
    <worksheetSource name="Tabla7"/>
  </cacheSource>
  <cacheFields count="36">
    <cacheField name="FECHA" uniqueList="1" numFmtId="0" sqlType="0" hierarchy="0" level="0" databaseField="1">
      <sharedItems count="0" containsBlank="1" containsDate="1" containsMixedTypes="1" minDate="2025-10-15T00:00:00" maxDate="2026-12-04T00:00:00"/>
    </cacheField>
    <cacheField name="CENTRO DE COSTO" uniqueList="1" numFmtId="0" sqlType="0" hierarchy="0" level="0" databaseField="1">
      <sharedItems count="0" containsBlank="1"/>
    </cacheField>
    <cacheField name="DESCRIPCION" uniqueList="1" numFmtId="0" sqlType="0" hierarchy="0" level="0" databaseField="1">
      <sharedItems count="0" containsBlank="1"/>
    </cacheField>
    <cacheField name="PROVEEDOR" uniqueList="1" numFmtId="0" sqlType="0" hierarchy="0" level="0" databaseField="1">
      <sharedItems count="173" containsBlank="1">
        <s v="MEREY ENERGY 58 C.A. (AUT.IOSA)"/>
        <s v="TAMORCA,C.A."/>
        <s v="SERVICIOS GAMONTY, C.A"/>
        <s v="SOSHICA"/>
        <s v="CONF. LORDIZ"/>
        <s v="RENSER-ORIENTE, C.A."/>
        <s v="INVERSION RIO NEGRO C.A."/>
        <s v="TOP DRIVE, S.A."/>
        <s v="NEW TECH ALS, C.A."/>
        <s v="VENEZOLANA DE MECANICANIZADO C.A."/>
        <s v="INDUSTRIAS QUIMICAS ZOMALCA, C.A"/>
        <s v="COMPAÑÍA ANONIMA MILITAR DE INDUSTRIAS MINERAS, PETROLIFERAS Y DE GAS (CAMIMPEG), C.A."/>
        <s v="INDUSTRIAS METALURGICAS EXCEL, C.A."/>
        <s v="LUIS VILLAMIZAR"/>
        <s v="PETROBES, C.A."/>
        <s v="CONELCA,C.A."/>
        <s v="COLFISHING SERVICES SAS"/>
        <s v="ESPECIALISTAS EN BOMBEO ELECTROSUMERGIBLES, C.A."/>
        <s v="LIMPIADORES INDUSTRIALES LIPESA,S.A."/>
        <s v="RODEANDES"/>
        <s v="NEW PROYECT, C.A"/>
        <s v="APSU PROCESS MANAGEMENT,C.A."/>
        <s v="HIPER VALLE, C.A."/>
        <s v="LUSORCA SUPPLY, S.A."/>
        <s v="MULTISERVICIOS A37, C.A."/>
        <s v="MAMUSA INDUSTRIAL, C.A."/>
        <s v="VALTRA, C.A."/>
        <s v="ACOSTA SERVICIOS ESPECIALES, C.A. (ASECA)"/>
        <s v="NEOCAMIONES, C.A."/>
        <s v="CM SUMINISTROS ITS TIME C.A."/>
        <s v="SOLTECH MTS GROUP, C.A"/>
        <s v="CONSORCIO DE CONGESTION VENEQUIP"/>
        <s v="SERVICIOS Y TRANSPORTE LA REPRESA, C.A."/>
        <s v="SUMINISTROS OCCIDENTE DE SEGURIDAD HIGIENE Y AMBIENTE, C.A. (SOSHICA)"/>
        <s v="CONSTRUCCIONS, INVERSIONES Y SERVICIOS JS, C.A."/>
        <s v="DISTRIBUIDORA NACIONAL DE MOTORES, C.A. (DINAMO)"/>
        <s v="ANELECTRA, C.A."/>
        <s v="CONTRERAS SEGURIDAD INDUSTRIAL, C.A."/>
        <s v="CONFECCIONES DIVINO NIÑO, C.A."/>
        <s v="SERVICIOS Y SOLUCIONES F.J, C.A."/>
        <s v="CIMA TECH, C.A."/>
        <s v="RODAMIENTOS Y ESTOPERAS DE LOS ANDES"/>
        <s v="INVERSIONES LLANOTEC"/>
        <s v="PIPE SUPPLY AND SERVICES SAS"/>
        <s v="H&amp;B SERVICIOS GLOBAL C.A."/>
        <s v="INTEVEP"/>
        <s v="EDELCA"/>
        <s v="CENTRO CLINICO DIVINO NIÑO, C.A."/>
        <s v="CONSTRUSERVICIOS GREGOCHAR, C.A."/>
        <s v="CONSTRUCTORA KVA C.A."/>
        <s v="SERV.DE TRASLADOS 7 VENCEDORES"/>
        <s v="OMICT SERVICES, C.A."/>
        <s v="KENBRAN, C.A."/>
        <s v="ASESORES EMPRESARIALES (CAEMCA), C.A."/>
        <s v="D&amp;P, C.A."/>
        <s v="ASOCIACION COOPERATIVA SINAT-57, R.L."/>
        <s v="CLOMAT, C.A."/>
        <s v="EDGAR QUEVEDO"/>
        <s v="INVERSIONES Y CONSTRUCCIONES SAN FRANCISCO SP"/>
        <s v="PARSERVICIOS INTEGRALES SA"/>
        <s v="JOSE AMADO VALDEZ"/>
        <s v="SELECTRIX BARINAS C.A."/>
        <s v="7 VENCEDORES"/>
        <s v="SERVICIOS Y CONSTRUCCIONES ARPA,C.A."/>
        <s v="EXTIN-PRO-BA, C.A."/>
        <s v="CORPORACION CARACAS, C.A."/>
        <s v="ENERGIA Y CONSTRUCCIONES DE VENEZUELA, C.A"/>
        <s v="AMPLEX DE COLOMBIA COMPAÑIA"/>
        <m/>
        <s v="INVERSIONES RESANSIL,C.A."/>
        <s v="ARKAN GRUPO INDUSTRIAL, C.A."/>
        <s v="NPO SERVICES, C.A"/>
        <s v="TRANSPORTE Y CONSTRUCTORA CAMBALACHE, S.A."/>
        <s v=" DLD PUBLICIDAD"/>
        <s v="ASOC. COOP. 7 VENCEDORES 2003, R.L. "/>
        <s v="DISTRIBUIDORA FLOR DE APURE, C.A."/>
        <s v="CONCRETERA INDUSTRIAL BARINAS, C.A."/>
        <s v="SIMSA DE VENEZUELA"/>
        <s v="INDUSTRIAS OCCIDENTE,S.A."/>
        <s v="FORTIA ENERGY &amp; SERVICIOS, C.A."/>
        <s v="DECARB 2 GO INC."/>
        <s v="INTEGRAL CORP GROUP, C.A. "/>
        <s v="INGENIERIA GONZALEZ, C.A. (INGONCA)"/>
        <s v="PETRORAMO9,C.A."/>
        <s v="IC SERVICIOS Y SUMINISTROS, C.A. "/>
        <s v="BUS OCCIDENTE NEW, C.A."/>
        <s v="GRUPO TECNOLOGICO C,A,"/>
        <s v="SERVICIO DE CARACTERIZACION AMBIENTAL DE EFLUENTES LIQUIDOS, SUELOS Y EMISIONES ATMOSFERICAS EN LOS CAMPOS GUAFITA Y LA VICTORIA"/>
        <s v="RLR, S.A.S."/>
        <s v="SOLTECH, C.A."/>
        <s v="PEDRO PANZA"/>
        <s v="TORINDUCA, C.A."/>
        <s v="L&amp;Q CONSULTORES SAFETY, C.A."/>
        <s v="WILLIAMS JOSE LOPEZ ESPINOZA"/>
        <s v="INVERSIONES SANTA CRUZ C.A."/>
        <s v="INVERSIONES DINOR C.A."/>
        <s v=" CABILLAS DEL CENTRO, C.A"/>
        <s v="EDWIN CERQUERA OLAYA"/>
        <s v="INVERSIONES SANTA CRUZ,C.A."/>
        <s v="SUBLIBUSTOS"/>
        <s v="LATAM ENERGY SOLUTIONS, SAS"/>
        <s v="SIMSA DE VENEZUELA C.A" u="1"/>
        <s v="SERVICIOS Y TRANSPORTE LA REPRESA C.A." u="1"/>
        <s v="NPO SERVICES, C.A." u="1"/>
        <s v=" ASOCIACION COOPERATIVA SINAT-54, R.L." u="1"/>
        <s v="RLR, S.A.S" u="1"/>
        <s v="SELETRIX BARINAS C.A." u="1"/>
        <s v="SELECTRI BARINAS, C.A." u="1"/>
        <s v="INVERSIONES LLANOTEC C.A" u="1"/>
        <s v="SIN UTILIZAR" u="1"/>
        <s v="MAMUSA INDUSTRIAL, S.A." u="1"/>
        <s v="PETRO BES, C.A." u="1"/>
        <s v="VENEQUIP, C.A" u="1"/>
        <s v="CONSORCIO DE COGESTION VENEQUIP" u="1"/>
        <s v="CONSTRUCTORA KVA,C.A." u="1"/>
        <s v="HIPER VALLE, C.A. " u="1"/>
        <s v="-" u="1"/>
        <s v="ANULADA" u="1"/>
        <s v="NEW TECH ALS, C.A" u="1"/>
        <s v="TOP DRIVE, SAS." u="1"/>
        <s v=" CABILLAS DEL CENTRO, CA" u="1"/>
        <s v="D&amp;P C.A." u="1"/>
        <s v="CONSTRUCTORA KVA, C.A." u="1"/>
        <s v="CABILLAS DEL CENTRO, C.A." u="1"/>
        <s v="ESPECIALISTA EN BOMBEO ELECTROSUMERGIBLE C.A" u="1"/>
        <s v="CONSTRUCTORA KVA " u="1"/>
        <s v="SIMSA DE VENEZUELA C.A." u="1"/>
        <s v="EMPRESA: INVERSIONES SANTA CRUZ,C.A." u="1"/>
        <s v="CIMA TECH C.A." u="1"/>
        <s v="TAMORCA, C.A" u="1"/>
        <s v="TAMORCA, C.A." u="1"/>
        <s v="INVERSIONES RIO NEGRO" u="1"/>
        <s v="PAR SERVICIOS INTEGRALES S.A." u="1"/>
        <s v="VALTRA C.A." u="1"/>
        <s v="GRUPO TECNOLOGICO, C.A." u="1"/>
        <s v="INGENIERIA GONZALEZ, C.A." u="1"/>
        <s v="CLOMAT C.A" u="1"/>
        <s v="SERVICIO DE CONSULTORIA FUNCIONAL ODOO (FASE I)" u="1"/>
        <s v="NEW PROYECT, C.A." u="1"/>
        <s v="EXTINPROBA RL, C.A." u="1"/>
        <s v="CORPORACION CARACAS CA" u="1"/>
        <s v="DISTRIBUIDORA FLOR DE APURE,C.A." u="1"/>
        <s v="SERVICIOS Y TRANSPORTE _x000a_LA REPRESA C.A." u="1"/>
        <s v="NPO SERVICIES, C.A." u="1"/>
        <s v="EXTINPROBA RL, C.A._x000a_" u="1"/>
        <s v="CONSTRUCCIONES,INVERSIONES Y SERVICIOS JS" u="1"/>
        <s v="CONSORSIO DE COGESTION VENEQUIP" u="1"/>
        <s v="TRANSPORTE Y CONSTRUCTORA CAMBALACHE SA" u="1"/>
        <s v="TOP DRIVE" u="1"/>
        <s v="SERVICIOS GAMONTY" u="1"/>
        <s v="NEW TEACH" u="1"/>
        <s v="INVERSIONE LLANOTEC" u="1"/>
        <s v="SELECTRI BARINAS C.A." u="1"/>
        <s v="CAMIMPEG" u="1"/>
        <s v="VEGA INVERSIONES KVA FP" u="1"/>
        <s v="INVERSIONES El GUATE CM CA" u="1"/>
        <s v="FLUIMOS, SAS." u="1"/>
        <s v="SIMATECH" u="1"/>
        <s v="SUMINISTRO DE CASCOS INTEGRALES" u="1"/>
        <s v="CELETRIX BARINAS C.A." u="1"/>
        <s v="SOCIEDAD POR ACCIONES SIMPLIFICADA" u="1"/>
        <s v="ESPECIALISTAS EN BOMBEO ELECTROSUMERGIBLE, C.A." u="1"/>
        <s v="CAMIMPEG,C.A." u="1"/>
        <s v="EN ESPERA" u="1"/>
        <s v="GASES IND ARAUCA" u="1"/>
        <s v="INGONGA,C.A" u="1"/>
        <s v="GAMONTHY" u="1"/>
        <s v="INDUSTRIAS QUIMICAS ZOMALCA C.A." u="1"/>
        <s v="ADVANCE LABORATORIOS, C.A." u="1"/>
        <s v="CHEMICAL TECNOLOGY MLFL, C.A." u="1"/>
        <s v="SAFETECH VENEZUELA, C.A." u="1"/>
        <s v="INVERSIONES RUDOLCA,C.A." u="1"/>
        <s v="LIMPIADORES INDUSTRIALES LIPESA, S.A." u="1"/>
      </sharedItems>
    </cacheField>
    <cacheField name="CATEGORIA" uniqueList="1" numFmtId="0" sqlType="0" hierarchy="0" level="0" databaseField="1">
      <sharedItems count="0"/>
    </cacheField>
    <cacheField name="TIPO" uniqueList="1" numFmtId="0" sqlType="0" hierarchy="0" level="0" databaseField="1">
      <sharedItems count="0"/>
    </cacheField>
    <cacheField name="NUMERO" uniqueList="1" numFmtId="0" sqlType="0" hierarchy="0" level="0" databaseField="1">
      <sharedItems count="0" containsInteger="1" containsMixedTypes="1" containsNumber="1" minValue="0" maxValue="95"/>
    </cacheField>
    <cacheField name="DOCUMENTO SOPORTE" uniqueList="1" numFmtId="0" sqlType="0" hierarchy="0" level="0" databaseField="1">
      <sharedItems count="327" containsBlank="1">
        <s v="ODC-004"/>
        <s v="ODC-005"/>
        <s v="ODC-006"/>
        <s v="ODC-007"/>
        <s v="ODC-008"/>
        <s v="ODC-009"/>
        <s v="ODC-010"/>
        <s v="ODC-011"/>
        <s v="ODC-012"/>
        <s v="ODC-013"/>
        <s v="ODC-014"/>
        <s v="ODC-015"/>
        <s v="ODC-016"/>
        <s v="ODC-018"/>
        <s v="ODC-019"/>
        <s v="ODC-020"/>
        <s v="ODC-021"/>
        <s v="ODC-022"/>
        <s v="ODC-023"/>
        <s v="ODC-024"/>
        <s v="ODC-025"/>
        <s v="ODC-026"/>
        <s v="ODC-027"/>
        <s v="ODC-028"/>
        <s v="ODC-029"/>
        <s v="ODC-030"/>
        <s v="ODC-031"/>
        <s v="ODC-032"/>
        <s v="ODC-033"/>
        <s v="ODC-034"/>
        <s v="ODC-035"/>
        <s v="ODC-036"/>
        <s v="ODC-037"/>
        <s v="ODC-038"/>
        <s v="ODC-039"/>
        <s v="ODC-040"/>
        <s v="ODC-041"/>
        <s v="ODC-042"/>
        <s v="ODC-043"/>
        <s v="ODC-044"/>
        <s v="ODC-045"/>
        <s v="ODC-046"/>
        <s v="ODC-047"/>
        <s v="ODC-048"/>
        <s v="ODC-049"/>
        <s v="ODC-050"/>
        <s v="ODC-052"/>
        <s v="ODC-053"/>
        <s v="ODC-054"/>
        <s v="ODC-055"/>
        <s v="ODC-056"/>
        <s v="ODC-057"/>
        <s v="ODC-058"/>
        <s v="ODC-059"/>
        <s v="ODC-060"/>
        <s v="ODC-061"/>
        <s v="ODC-063"/>
        <s v="ODC-064"/>
        <s v="ODC-065"/>
        <s v="ODC-066"/>
        <s v="ODC-067"/>
        <s v="ODC-068"/>
        <s v="ODC-069"/>
        <s v="ODC-070"/>
        <s v="ODC-071"/>
        <s v="ODC-072"/>
        <s v="ODC-074"/>
        <s v="ODC-075"/>
        <s v="ODC-077"/>
        <s v="ODC-078"/>
        <s v="ODC-079"/>
        <s v="ODC-080"/>
        <s v="ODC-081"/>
        <s v="ODC-082"/>
        <s v="ODC-083"/>
        <s v="ODC-084"/>
        <s v="ODC-085"/>
        <s v="ODC-086"/>
        <s v="ODC-087"/>
        <s v="ODC-088"/>
        <s v="ODC-089"/>
        <s v="ODC-090"/>
        <s v="ODC-091"/>
        <s v="ODC-092"/>
        <s v="ODC-093"/>
        <s v="ODC-094"/>
        <s v="ODC-095"/>
        <s v="ODC-096"/>
        <s v="ODC-097"/>
        <s v="ODC-098"/>
        <s v="ODC-099"/>
        <s v="ODC-100"/>
        <s v="ODC-101"/>
        <s v="ODC-102"/>
        <s v="ODC-103"/>
        <s v="ODC-104"/>
        <s v="ODC-105"/>
        <s v="ODC-106"/>
        <s v="ODC-108"/>
        <s v="ODC-109"/>
        <s v="ODC-110"/>
        <s v="ODC-111"/>
        <s v="ODC-112"/>
        <s v="ODC-113"/>
        <s v="ODS-001"/>
        <s v="ODS-002"/>
        <s v="ODS-003"/>
        <s v="ODS-004"/>
        <s v="ODS-005"/>
        <s v="ODS-006"/>
        <s v="ODS-007"/>
        <s v="ODS-008"/>
        <s v="ODS-009"/>
        <s v="ODS-010"/>
        <s v="ODS-011"/>
        <s v="ODS-012"/>
        <s v="ODS-013"/>
        <s v="ODS-014"/>
        <s v="ODS-015"/>
        <s v="ODS-016"/>
        <s v="ODS-017"/>
        <s v="ODS-018"/>
        <s v="ODS-019"/>
        <s v="ODS-020"/>
        <s v="ODS-021"/>
        <s v="ODS-022"/>
        <s v="ODS-023"/>
        <s v="ODS-024"/>
        <s v="ODS-025"/>
        <s v="ODS-026"/>
        <s v="ODS-027"/>
        <s v="ODS-028"/>
        <s v="ODS-029"/>
        <s v="ODS-030"/>
        <s v="ODS-031"/>
        <s v="ODS-032"/>
        <s v="ODS-033"/>
        <s v="ODS-034"/>
        <s v="ODS-035"/>
        <s v="ODS-036"/>
        <s v="ODS-037"/>
        <s v="ODS-038"/>
        <s v="ODS-039"/>
        <s v="ODS-040"/>
        <s v="ODS-041"/>
        <s v="ODS-042"/>
        <s v="ODS-043"/>
        <s v="ODS-044"/>
        <s v="ODS-045"/>
        <s v="ODS-046"/>
        <s v="ODS-048"/>
        <s v="ODS-049"/>
        <s v="ODS-050"/>
        <s v="ODS-051"/>
        <s v="ODS-052"/>
        <s v="ODS-053"/>
        <s v="ODS-054"/>
        <s v="ODS-055"/>
        <s v="ODS-056"/>
        <s v="ODC-AP-COLVEN-002"/>
        <s v="ODS-AP-COLVEN-002"/>
        <s v="ODC-AP-COLVEN-003"/>
        <s v="ODS-BA-COLVEN-003"/>
        <s v="ODS-AP-COLVEN-004"/>
        <s v="ODC-AP-COLVEN-004"/>
        <s v="ODS-AB-COLVEN-005"/>
        <s v="ODC-AP-COLVEN-005"/>
        <s v="ODC-AP-COLVEN-006"/>
        <s v="ODS-AP-COLVEN-006"/>
        <s v="ODC-AP-COLVEN-007"/>
        <s v="ODS-AP-COLVEN-007"/>
        <s v="ODC-AP-COLVEN-008"/>
        <s v="ODS-AP-COLVEN-008"/>
        <s v="ODC-AP-COLVEN-009"/>
        <s v="ODS-AB-COLVEN-009"/>
        <s v="ODS-BA-COLVEN-010"/>
        <s v="ODC-AP-COLVEN-011"/>
        <s v="ODS-AP-COLVEN-011"/>
        <s v="ODC-BA-COLVEN-012"/>
        <s v="ODS-BA-COLVEN-012"/>
        <s v="ODC-BA-COLVEN-013"/>
        <s v="ODS-AB-COLVEN-013"/>
        <s v="ODC-AP-COLVEN-014"/>
        <s v="ODS-BA-COLVEN-014"/>
        <s v="ODC-AB-COLVEN-016"/>
        <s v="ODS-AB-COLVEN-016"/>
        <s v="ODC-BA-COLVEN-017"/>
        <s v="ODC-AB-COLVEN-018"/>
        <s v="ODS-BA-COLVEN-018"/>
        <s v="ODC-PA-COLVEN-019"/>
        <s v="ODS-AB-COLVEN-019"/>
        <s v="ODC-AP-COLVEN-020"/>
        <s v="ODS-AP-COLVEN-020"/>
        <s v="ODC-BA-COLVEN-021"/>
        <s v="ODS-BA-COLVEN-021"/>
        <s v="ODS-AB-COLVEN-022"/>
        <s v="ODC-AP-COLVEN-023"/>
        <s v="ODS-AB-COLVEN-023"/>
        <s v="ODC-AP-COLVEN-024"/>
        <s v="ODS-AB-COLVEN-024"/>
        <s v="ODC-BA-COLVEN-025"/>
        <s v="ODC-BA-COLVEN-026"/>
        <s v="ODS-AP-COLVEN-026"/>
        <s v="ODC-AP-COLVEN-027"/>
        <s v="ODS-AP-COLVEN-027"/>
        <s v="ODC-AP-COLVEN-028"/>
        <s v="ODS-AP-COLVEN-028"/>
        <s v="ODC-AP-COLVEN-029"/>
        <s v="ODS-AP-COLVEN-029"/>
        <s v="ODC-AB-COLVEN-030"/>
        <s v="ODS-AP-COLVEN-030"/>
        <s v="ODC-AP-COLVEN-031"/>
        <s v="ODS-AP-COLVEN-031"/>
        <s v="ODC-AP-COLVEN-032"/>
        <s v="ODC-AP-COLVEN-033"/>
        <s v="ODS-BA-COLVEN-033"/>
        <s v="ODC-BA-COLVEN-034"/>
        <s v="ODS-AP-COLVEN-034"/>
        <s v="ODC-BA-COLVEN-035"/>
        <s v="ODS-AP-COLVEN-036"/>
        <s v="ODC-AP-COLVEN-037"/>
        <s v="ODS-BA-COLVEN-037"/>
        <s v="ODS-AB-COLVEN-038"/>
        <s v="ODC-BA-COLVEN-039"/>
        <s v="ODS-AB-COLVEN-039"/>
        <s v="ODC-AB-COLVEN-040"/>
        <s v="ODS-BA-COLVEN-040"/>
        <s v="ODC-AB-COLVEN-041"/>
        <s v="ODS-AP-COLVEN-041"/>
        <s v="ODC-AB-COLVEN-042"/>
        <s v="ODS-AP-COLVEN-042"/>
        <s v="ODC-AP-COLVEN-043"/>
        <s v="ODS-AB-COLVEN-043"/>
        <s v="ODC-AB-COLVEN-044"/>
        <s v="ODS-BA-COLVEN-044"/>
        <s v="ODC-AB-COLVEN-045"/>
        <s v="ODS-AP-COLVEN-046"/>
        <s v="ODC-BA-COLVEN-046"/>
        <s v="ODS-AP-COLVEN-047"/>
        <s v="ODC-AP-COLVEN-047"/>
        <s v="ODC-AP-COLVEN-048"/>
        <s v="ODS-AP-COLVEN-048"/>
        <s v="ODS-AP-COLVEN-049"/>
        <s v="ODS-AP-COLVEN-050"/>
        <s v="ODC-AP-COLVEN-050"/>
        <s v="ODS-AP-COLVEN-051"/>
        <s v="ODC-AP-COLVEN-051"/>
        <s v="ODS-BA-COLVEN-052 "/>
        <s v="ODC-AB-COLVEN-052"/>
        <s v="ODC-AP-COLVEN-053"/>
        <s v="ODS-AP-COLVEN-054"/>
        <s v="ODC-AP-COLVEN-054"/>
        <s v="ODS-AP-COLVEN-055"/>
        <s v="ODS-AP-COLVEN-056"/>
        <s v="ODC-BA-COLVEN-056"/>
        <s v="ODS-BA-COLVEN-057"/>
        <s v="ODC-AP-COLVEN-057"/>
        <s v="ODC-AP-COLVEN-058"/>
        <s v="ODS-BA-COLVEN-058"/>
        <s v="ODS-BA-COLVEN-059"/>
        <s v="ODC-BA-COLVEN-059"/>
        <s v="ODS-AB-COLVEN-060"/>
        <s v="ODC-BA-COLVEN-061"/>
        <s v="ODS-BA-COLVEN-061"/>
        <s v="ODS-AP-COLVEN-062"/>
        <s v="ODC-AP-COLVEN-062"/>
        <s v="ODC-AP-COLVEN-063"/>
        <s v="ODS-AP-COLVEN-063"/>
        <s v="ODC-AP-COLVEN-064"/>
        <s v="ODS-AP-COLVEN-065"/>
        <s v="ODC-AB-COLVEN-065"/>
        <s v="ODS-AP-COLVEN-066"/>
        <s v="ODS-AB-COLVEN-067"/>
        <s v="ODC-AP-COLVEN-067"/>
        <s v="ODC-AP-COLVEN-070"/>
        <s v="ODS-AP-COLVEN-070"/>
        <s v="ODS-BA-COLVEN-071"/>
        <s v="ODC-AP-COLVEN-071"/>
        <s v="ODC-AP-COLVEN-072"/>
        <s v="ODC-AP-COLVEN-073"/>
        <s v="ODS-AP-COLVEN-075"/>
        <s v="ODC-AB-COLVEN-076"/>
        <s v="ODS-AP-COLVEN-077"/>
        <s v="ODC-AB-COLVEN-077"/>
        <s v="ODS-BA-COLVEN-078"/>
        <s v="ODS-AP-COLVEN-079"/>
        <s v="ODS-AB-COLVEN-082"/>
        <s v="ODC-AP-COLVEN-082"/>
        <s v="ODS-BA-COLVEN-083"/>
        <s v="ODS-AB-COLVEN-084"/>
        <s v="ODC-AP-COLVEN-086"/>
        <s v="ODC-BA-COLVEN-087"/>
        <s v="ODC-AP-COLVEN-088"/>
        <s v="ODC-AP-COLVEN-091"/>
        <s v="ODC-BA-COLVEN-093"/>
        <s v="ODC-AP-COLVEN-095"/>
        <s v="ODS-AP-COLVEN-053"/>
        <s v="ODC-AP-COLVEN-084"/>
        <s v="ODC-BA -COLVEN-085"/>
        <s v="ODC-BA-COLVEN-094"/>
        <s v="ODS-BA-COLVEN-080"/>
        <s v="ODC-017" u="1"/>
        <s v="ODC-AP-COLVEN-010" u="1"/>
        <s v="ODC-AB-COLVEN-015" u="1"/>
        <m u="1"/>
        <s v="ODC-AP-COLVEN-001" u="1"/>
        <s v="ODS-AP-COLVEN-001" u="1"/>
        <s v="ODS-AP-COLVEN-003" u="1"/>
        <s v="ODS-BA-COLVEN-004" u="1"/>
        <s v="ODS-AP-COLVEN-009" u="1"/>
        <s v="ODS-AP-COLVEN-012" u="1"/>
        <s v="ODS-AP-COLVEN-013" u="1"/>
        <s v="ODS-AP-COLVEN-033" u="1"/>
        <s v="ODS-047" u="1"/>
        <s v="ODS-BA-COLVEN-016" u="1"/>
        <s v="ODC-BA-COLVEN-022" u="1"/>
        <s v="ODC-107" u="1"/>
        <s v="ODC-BA-COLVEN-011" u="1"/>
        <s v="ODC-001" u="1"/>
        <s v="ODC-002" u="1"/>
        <s v="ODC-073" u="1"/>
        <s v="ODC-076" u="1"/>
        <s v="ODC-BA-COLVEN-019" u="1"/>
        <s v="ODS-AP-COLVEN-010" u="1"/>
        <s v="ODDC-BA-COLVEN-025" u="1"/>
        <s v="NA" u="1"/>
        <s v="ODC-051" u="1"/>
      </sharedItems>
    </cacheField>
    <cacheField name="CONDICION EJECUCION OPERACIONAL" uniqueList="1" numFmtId="0" sqlType="0" hierarchy="0" level="0" databaseField="1">
      <sharedItems count="3">
        <s v="COMPLETADA OPERACIONAL"/>
        <s v="POR COMPLETAR"/>
        <s v="COMPLETADA" u="1"/>
      </sharedItems>
    </cacheField>
    <cacheField name="DESCRIPCION2" uniqueList="1" numFmtId="0" sqlType="0" hierarchy="0" level="0" databaseField="1">
      <sharedItems count="0" containsBlank="1" containsInteger="1" containsMixedTypes="1" containsNumber="1" minValue="1" maxValue="1"/>
    </cacheField>
    <cacheField name="TOTAL  ODC - ODS US$" uniqueList="1" numFmtId="0" sqlType="0" hierarchy="0" level="0" databaseField="1">
      <sharedItems count="0" containsBlank="1" containsMixedTypes="1" containsNumber="1" minValue="0" maxValue="1875000"/>
    </cacheField>
    <cacheField name="FECHA DE PAGO (1)" uniqueList="1" numFmtId="168" sqlType="0" hierarchy="0" level="0" databaseField="1">
      <sharedItems count="0" containsBlank="1" containsDate="1" containsMixedTypes="1" minDate="1914-05-18T15:36:00" maxDate="2026-12-04T00:00:00"/>
    </cacheField>
    <cacheField name="US $ PAGADO (1)" uniqueList="1" numFmtId="0" sqlType="0" hierarchy="0" level="0" databaseField="1">
      <sharedItems count="0" containsBlank="1" containsNumber="1" containsString="0" minValue="0" maxValue="535500"/>
    </cacheField>
    <cacheField name="FECHA DE PAGO (2)" uniqueList="1" numFmtId="168" sqlType="0" hierarchy="0" level="0" databaseField="1">
      <sharedItems count="0" containsBlank="1" containsDate="1" containsMixedTypes="1" minDate="2026-01-20T00:00:00" maxDate="2026-12-21T00:00:00"/>
    </cacheField>
    <cacheField name="US $ PAGADO (2)" uniqueList="1" numFmtId="0" sqlType="0" hierarchy="0" level="0" databaseField="1">
      <sharedItems count="0" containsBlank="1" containsNumber="1" containsString="0" minValue="43.24" maxValue="779937.6899999999"/>
    </cacheField>
    <cacheField name="FECHA DE PAGO    (3)" uniqueList="1" numFmtId="168" sqlType="0" hierarchy="0" level="0" databaseField="1">
      <sharedItems count="17" containsBlank="1" containsDate="1" containsNonDate="0" containsString="0" minDate="2026-02-06T00:00:00" maxDate="2026-10-16T00:00:00">
        <m/>
        <d v="2026-02-06T00:00:00"/>
        <d v="2026-03-19T00:00:00"/>
        <d v="2026-06-18T00:00:00"/>
        <d v="2026-05-05T00:00:00"/>
        <d v="2026-02-13T00:00:00"/>
        <d v="2026-04-17T00:00:00"/>
        <d v="2026-04-24T00:00:00"/>
        <d v="2026-05-01T00:00:00"/>
        <d v="2026-05-24T00:00:00"/>
        <d v="2026-05-25T00:00:00"/>
        <d v="2026-08-26T00:00:00"/>
        <d v="2026-08-03T00:00:00"/>
        <d v="2026-08-20T00:00:00"/>
        <d v="2026-06-10T00:00:00"/>
        <d v="2026-08-10T00:00:00"/>
        <d v="2026-10-15T00:00:00"/>
      </sharedItems>
      <fieldGroup par="31"/>
    </cacheField>
    <cacheField name="US $ PAGADO (3)" uniqueList="1" numFmtId="173" sqlType="0" hierarchy="0" level="0" databaseField="1">
      <sharedItems count="0" containsBlank="1" containsNumber="1" containsString="0" minValue="210" maxValue="205903.54"/>
    </cacheField>
    <cacheField name="FECHA DE PAGO (04)" uniqueList="1" numFmtId="168" sqlType="0" hierarchy="0" level="0" databaseField="1">
      <sharedItems count="10" containsBlank="1" containsDate="1" containsNonDate="0" containsString="0" minDate="2026-02-13T00:00:00" maxDate="2026-10-20T00:00:00">
        <m/>
        <d v="2026-02-25T00:00:00"/>
        <d v="2026-08-04T00:00:00"/>
        <d v="2026-02-13T00:00:00"/>
        <d v="2026-04-30T00:00:00"/>
        <d v="2026-05-24T00:00:00"/>
        <d v="2026-06-15T00:00:00"/>
        <d v="2026-07-24T00:00:00"/>
        <d v="2026-10-19T00:00:00"/>
        <d v="2026-10-09T00:00:00"/>
      </sharedItems>
      <fieldGroup par="33"/>
    </cacheField>
    <cacheField name="US $ PAGADO (04)" uniqueList="1" numFmtId="0" sqlType="0" hierarchy="0" level="0" databaseField="1">
      <sharedItems count="0" containsBlank="1" containsNumber="1" containsString="0" minValue="2609.95" maxValue="169158.43"/>
    </cacheField>
    <cacheField name="FECHA DE PAGO 5" uniqueList="1" numFmtId="168" sqlType="0" hierarchy="0" level="0" databaseField="1">
      <sharedItems count="5" containsBlank="1" containsDate="1" containsNonDate="0" containsString="0" minDate="2026-03-10T00:00:00" maxDate="2026-10-23T00:00:00">
        <m/>
        <d v="2026-03-10T00:00:00"/>
        <d v="2026-05-25T00:00:00"/>
        <d v="2026-07-17T00:00:00"/>
        <d v="2026-10-22T00:00:00"/>
      </sharedItems>
      <fieldGroup par="35"/>
    </cacheField>
    <cacheField name="US $ PAGADO 5" uniqueList="1" numFmtId="175" sqlType="0" hierarchy="0" level="0" databaseField="1">
      <sharedItems count="0" containsBlank="1" containsNumber="1" containsString="0" minValue="7245.4" maxValue="109285.71"/>
    </cacheField>
    <cacheField name="FECHA DE PAGO 6" uniqueList="1" numFmtId="168" sqlType="0" hierarchy="0" level="0" databaseField="1">
      <sharedItems count="0" containsBlank="1" containsDate="1" containsNonDate="0" containsString="0" minDate="2026-04-30T00:00:00" maxDate="2026-07-18T00:00:00"/>
    </cacheField>
    <cacheField name="US $ PAGADO 6" uniqueList="1" numFmtId="175" sqlType="0" hierarchy="0" level="0" databaseField="1">
      <sharedItems count="0" containsBlank="1" containsNumber="1" containsString="0" minValue="128983.5" maxValue="356000"/>
    </cacheField>
    <cacheField name="FECHA DE PAGO 7" uniqueList="1" numFmtId="168" sqlType="0" hierarchy="0" level="0" databaseField="1">
      <sharedItems count="0" containsBlank="1" containsDate="1" containsNonDate="0" containsString="0" minDate="2026-08-18T00:00:00" maxDate="2026-08-19T00:00:00"/>
    </cacheField>
    <cacheField name="US $ PAGADO 7" uniqueList="1" numFmtId="180" sqlType="0" hierarchy="0" level="0" databaseField="1">
      <sharedItems count="0" containsBlank="1" containsInteger="1" containsNumber="1" containsString="0" minValue="46143" maxValue="100000"/>
    </cacheField>
    <cacheField name="FECHA DE PAGO 8" uniqueList="1" numFmtId="168" sqlType="0" hierarchy="0" level="0" databaseField="1">
      <sharedItems count="0" containsBlank="1" containsNonDate="0" containsString="0"/>
    </cacheField>
    <cacheField name="US $ PAGADO 8" uniqueList="1" numFmtId="175" sqlType="0" hierarchy="0" level="0" databaseField="1">
      <sharedItems count="0" containsBlank="1" containsInteger="1" containsNumber="1" containsString="0" minValue="377000" maxValue="377000"/>
    </cacheField>
    <cacheField name="US $ POR PAGAR" uniqueList="1" numFmtId="173" sqlType="0" hierarchy="0" level="0" databaseField="1">
      <sharedItems count="0" containsNumber="1" containsSemiMixedTypes="0" containsString="0" minValue="-159931.04" maxValue="1875000"/>
    </cacheField>
    <cacheField name="TOTAL  US PAGADO" uniqueList="1" numFmtId="175" sqlType="0" hierarchy="0" level="0" databaseField="1">
      <sharedItems count="0" containsNumber="1" containsSemiMixedTypes="0" containsString="0" minValue="0" maxValue="1180767.71"/>
    </cacheField>
    <cacheField name="CONDICION ODC/ODS" uniqueList="1" numFmtId="0" sqlType="0" hierarchy="0" level="0" databaseField="1">
      <sharedItems count="0" containsBlank="1"/>
    </cacheField>
    <cacheField name="Días (FECHA DE PAGO    (3))" uniqueList="1" numFmtId="0" sqlType="0" hierarchy="0" level="0" databaseField="0">
      <fieldGroup base="15">
        <rangePr autoStart="1" autoEnd="1" groupBy="days" startDate="2026-02-06T00:00:00" endDate="2026-10-16T00:00:00" groupInterval="1"/>
        <groupItems count="368">
          <s v="&lt;6/2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6"/>
        </groupItems>
      </fieldGroup>
    </cacheField>
    <cacheField name="Meses (FECHA DE PAGO    (3))" uniqueList="1" numFmtId="0" sqlType="0" hierarchy="0" level="0" databaseField="0">
      <fieldGroup base="15">
        <rangePr autoStart="1" autoEnd="1" groupBy="months" startDate="2026-02-06T00:00:00" endDate="2026-10-16T00:00:00" groupInterval="1"/>
        <groupItems count="14">
          <s v="&lt;6/2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6/10/2026"/>
        </groupItems>
      </fieldGroup>
    </cacheField>
    <cacheField name="Días (FECHA DE PAGO (04))" uniqueList="1" numFmtId="0" sqlType="0" hierarchy="0" level="0" databaseField="0">
      <fieldGroup base="17">
        <rangePr autoStart="1" autoEnd="1" groupBy="days" startDate="2026-02-13T00:00:00" endDate="2026-10-20T00:00:00" groupInterval="1"/>
        <groupItems count="368">
          <s v="&lt;13/2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10/2026"/>
        </groupItems>
      </fieldGroup>
    </cacheField>
    <cacheField name="Meses (FECHA DE PAGO (04))" uniqueList="1" numFmtId="0" sqlType="0" hierarchy="0" level="0" databaseField="0">
      <fieldGroup base="17">
        <rangePr autoStart="1" autoEnd="1" groupBy="months" startDate="2026-02-13T00:00:00" endDate="2026-10-20T00:00:00" groupInterval="1"/>
        <groupItems count="14">
          <s v="&lt;13/2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0/10/2026"/>
        </groupItems>
      </fieldGroup>
    </cacheField>
    <cacheField name="Días (FECHA DE PAGO 5)" uniqueList="1" numFmtId="0" sqlType="0" hierarchy="0" level="0" databaseField="0">
      <fieldGroup base="19">
        <rangePr autoStart="1" autoEnd="1" groupBy="days" startDate="2026-03-10T00:00:00" endDate="2026-10-23T00:00:00" groupInterval="1"/>
        <groupItems count="368">
          <s v="&lt;10/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3/10/2026"/>
        </groupItems>
      </fieldGroup>
    </cacheField>
    <cacheField name="Meses (FECHA DE PAGO 5)" uniqueList="1" numFmtId="0" sqlType="0" hierarchy="0" level="0" databaseField="0">
      <fieldGroup base="19">
        <rangePr autoStart="1" autoEnd="1" groupBy="months" startDate="2026-03-10T00:00:00" endDate="2026-10-23T00:00:00" groupInterval="1"/>
        <groupItems count="14">
          <s v="&lt;10/3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3/10/202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301">
  <r>
    <d v="2025-10-15T00:00:00"/>
    <m/>
    <s v="BOMBA MECANICA SSW-54."/>
    <x v="0"/>
    <s v="ODC"/>
    <s v="ODC"/>
    <n v="0"/>
    <x v="0"/>
    <x v="0"/>
    <s v="100. %"/>
    <n v="9850"/>
    <d v="2025-10-15T00:00:00"/>
    <n v="9850"/>
    <m/>
    <m/>
    <x v="0"/>
    <m/>
    <x v="0"/>
    <m/>
    <x v="0"/>
    <m/>
    <m/>
    <m/>
    <m/>
    <m/>
    <m/>
    <m/>
    <n v="0"/>
    <n v="9850"/>
    <s v="CERRADA"/>
  </r>
  <r>
    <d v="2025-11-06T00:00:00"/>
    <m/>
    <s v="MOTOR LEAD EXTENSION EBES GF-77"/>
    <x v="1"/>
    <s v="ODC"/>
    <s v="ODC"/>
    <n v="0"/>
    <x v="1"/>
    <x v="0"/>
    <m/>
    <n v="25841.27"/>
    <d v="2025-11-06T00:00:00"/>
    <n v="25841.27"/>
    <m/>
    <m/>
    <x v="0"/>
    <m/>
    <x v="0"/>
    <m/>
    <x v="0"/>
    <m/>
    <m/>
    <m/>
    <m/>
    <m/>
    <m/>
    <m/>
    <n v="0"/>
    <n v="25841.27"/>
    <s v="CERRADA"/>
  </r>
  <r>
    <d v="2025-11-21T00:00:00"/>
    <m/>
    <s v="SUMINISTRO DE MATERIALES ELECTRICOS (REEL DE 10,000 PIES CABLE #2)."/>
    <x v="2"/>
    <s v="ODC"/>
    <s v="ODC"/>
    <n v="0"/>
    <x v="2"/>
    <x v="0"/>
    <s v="APROBADA Y FIRMADA"/>
    <n v="112500"/>
    <d v="2025-11-21T00:00:00"/>
    <n v="112500"/>
    <m/>
    <m/>
    <x v="0"/>
    <m/>
    <x v="0"/>
    <m/>
    <x v="0"/>
    <m/>
    <m/>
    <m/>
    <m/>
    <m/>
    <m/>
    <m/>
    <n v="0"/>
    <n v="112500"/>
    <s v="CERRADA"/>
  </r>
  <r>
    <d v="2025-11-21T00:00:00"/>
    <m/>
    <s v="UNIFORMES Y EQUIPOS DE PROTECCION PERSONAL (EPP Y BRAGAS)"/>
    <x v="3"/>
    <s v="ODC"/>
    <s v="ODC"/>
    <n v="0"/>
    <x v="3"/>
    <x v="0"/>
    <s v="PAGO 100%"/>
    <n v="3126"/>
    <d v="2025-11-21T00:00:00"/>
    <n v="3126"/>
    <m/>
    <m/>
    <x v="0"/>
    <m/>
    <x v="0"/>
    <m/>
    <x v="0"/>
    <m/>
    <m/>
    <m/>
    <m/>
    <m/>
    <m/>
    <m/>
    <n v="0"/>
    <n v="3126"/>
    <s v="CERRADA"/>
  </r>
  <r>
    <d v="2025-11-21T00:00:00"/>
    <m/>
    <s v="UNIFORMES Y EQUIPOS DE PROTECCION PERSONAL (CAMISAS)"/>
    <x v="4"/>
    <s v="ODC"/>
    <s v="ODC"/>
    <n v="0"/>
    <x v="4"/>
    <x v="0"/>
    <s v="(PAGO TOTAL,  SIN RECIBO)"/>
    <n v="864"/>
    <d v="2026-11-21T00:00:00"/>
    <n v="864"/>
    <m/>
    <m/>
    <x v="0"/>
    <m/>
    <x v="0"/>
    <m/>
    <x v="0"/>
    <m/>
    <m/>
    <m/>
    <m/>
    <m/>
    <m/>
    <m/>
    <n v="0"/>
    <n v="864"/>
    <s v="CERRADA"/>
  </r>
  <r>
    <d v="2026-11-28T00:00:00"/>
    <m/>
    <s v="EQUIPO Y MATERIALES SSW-14 Y SSW-16"/>
    <x v="1"/>
    <s v="ODC"/>
    <s v="ODC"/>
    <n v="0"/>
    <x v="5"/>
    <x v="0"/>
    <s v="(PAGO TOTAL,  SOLICITAR RECIBO)"/>
    <n v="16570"/>
    <d v="2025-11-29T00:00:00"/>
    <n v="16570"/>
    <m/>
    <m/>
    <x v="0"/>
    <m/>
    <x v="0"/>
    <m/>
    <x v="0"/>
    <m/>
    <m/>
    <m/>
    <m/>
    <m/>
    <m/>
    <m/>
    <n v="0"/>
    <n v="16570"/>
    <s v="CERRADA"/>
  </r>
  <r>
    <d v="2026-11-28T00:00:00"/>
    <m/>
    <s v="DETECTOR DE GAS, MULTIGAS"/>
    <x v="5"/>
    <s v="ODC"/>
    <s v="ODC"/>
    <n v="0"/>
    <x v="6"/>
    <x v="0"/>
    <s v="(PAGO TOTAL,  CON RECIBO)"/>
    <n v="1462.26"/>
    <d v="2025-11-28T00:00:00"/>
    <n v="1462.26"/>
    <m/>
    <m/>
    <x v="0"/>
    <m/>
    <x v="0"/>
    <m/>
    <x v="0"/>
    <m/>
    <m/>
    <m/>
    <m/>
    <m/>
    <m/>
    <m/>
    <n v="0"/>
    <n v="1462.26"/>
    <s v="CERRADA"/>
  </r>
  <r>
    <m/>
    <m/>
    <s v="MASCARA COMPLETA CON FILTRO"/>
    <x v="6"/>
    <s v="ODC"/>
    <s v="ODC"/>
    <n v="0"/>
    <x v="7"/>
    <x v="0"/>
    <s v="CONTRA ENTREGA 100 %"/>
    <n v="2535"/>
    <d v="2026-05-01T00:00:00"/>
    <n v="2535"/>
    <m/>
    <m/>
    <x v="0"/>
    <m/>
    <x v="0"/>
    <m/>
    <x v="0"/>
    <m/>
    <m/>
    <m/>
    <m/>
    <m/>
    <m/>
    <m/>
    <n v="0"/>
    <n v="2535"/>
    <s v="CERRADA"/>
  </r>
  <r>
    <d v="2026-12-03T00:00:00"/>
    <m/>
    <s v="ADQUISICION SISTEMAS DE BES CAMPAÑA 2"/>
    <x v="7"/>
    <s v="ODC"/>
    <s v="ODC"/>
    <n v="0"/>
    <x v="8"/>
    <x v="0"/>
    <m/>
    <n v="1146450.14"/>
    <d v="2026-12-03T00:00:00"/>
    <n v="44000"/>
    <d v="2026-12-20T00:00:00"/>
    <n v="51228"/>
    <x v="1"/>
    <n v="88000"/>
    <x v="1"/>
    <n v="109111"/>
    <x v="1"/>
    <n v="109285.71"/>
    <d v="2026-04-30T00:00:00"/>
    <n v="356000"/>
    <m/>
    <n v="46143"/>
    <m/>
    <n v="377000"/>
    <n v="-34317.57000000007"/>
    <n v="1180767.71"/>
    <s v=""/>
  </r>
  <r>
    <d v="2025-12-01T00:00:00"/>
    <m/>
    <s v="BOMBA MECANICA SSW-67"/>
    <x v="0"/>
    <s v="ODC"/>
    <s v="ODC"/>
    <n v="0"/>
    <x v="9"/>
    <x v="0"/>
    <s v="PAGO TOTAL"/>
    <n v="11802"/>
    <d v="2025-12-13T00:00:00"/>
    <n v="11802"/>
    <m/>
    <m/>
    <x v="0"/>
    <m/>
    <x v="0"/>
    <m/>
    <x v="0"/>
    <m/>
    <m/>
    <m/>
    <m/>
    <m/>
    <m/>
    <m/>
    <n v="0"/>
    <n v="11802"/>
    <s v="CERRADA"/>
  </r>
  <r>
    <d v="2025-12-03T00:00:00"/>
    <m/>
    <s v="BOMBAS MECANICAS GF-97 Y GF-88"/>
    <x v="0"/>
    <s v="ODC"/>
    <s v="ODC"/>
    <n v="0"/>
    <x v="10"/>
    <x v="0"/>
    <s v="(PAGO TOTAL, CON RECIBO)"/>
    <n v="25140"/>
    <d v="2025-12-03T00:00:00"/>
    <n v="25140"/>
    <m/>
    <m/>
    <x v="0"/>
    <m/>
    <x v="0"/>
    <m/>
    <x v="0"/>
    <m/>
    <m/>
    <m/>
    <m/>
    <m/>
    <m/>
    <m/>
    <n v="0"/>
    <n v="25140"/>
    <s v="CERRADA"/>
  </r>
  <r>
    <d v="2025-12-18T00:00:00"/>
    <s v="2000.01.02"/>
    <s v="ESP, CESTA DE POZOS APURE/BARINAS 2025 (NEW TECH)"/>
    <x v="8"/>
    <s v="ODC"/>
    <s v="ODC"/>
    <n v="0"/>
    <x v="11"/>
    <x v="0"/>
    <s v="30% ANTICIPO,40% A LA ENTREGA , 30% A 60 DIAS POSTERIOR A RECEPCION DE EQUIPOS"/>
    <n v="722085.29"/>
    <d v="2026-01-15T00:00:00"/>
    <n v="306396.08"/>
    <d v="2026-02-18T00:00:00"/>
    <n v="40627.24"/>
    <x v="2"/>
    <n v="205903.54"/>
    <x v="0"/>
    <n v="169158.43"/>
    <x v="0"/>
    <m/>
    <m/>
    <m/>
    <m/>
    <m/>
    <m/>
    <m/>
    <n v="0"/>
    <n v="722085.29"/>
    <s v="CERRADA"/>
  </r>
  <r>
    <d v="2025-12-11T00:00:00"/>
    <m/>
    <s v="ESP, CESTA DE POZOS APURE/BARINAS 2025 (TAMORCA)"/>
    <x v="1"/>
    <s v="ODC"/>
    <s v="ODC"/>
    <n v="0"/>
    <x v="12"/>
    <x v="0"/>
    <s v="30% ANTICIPO ,70%90 DIAS A LA ENTREGA DE EQUIPOS"/>
    <n v="418789.09"/>
    <d v="2025-12-04T00:00:00"/>
    <n v="125636.73"/>
    <d v="2026-06-15T00:00:00"/>
    <n v="100000"/>
    <x v="3"/>
    <n v="100000"/>
    <x v="2"/>
    <n v="93152.36"/>
    <x v="0"/>
    <m/>
    <m/>
    <m/>
    <m/>
    <m/>
    <m/>
    <m/>
    <n v="0"/>
    <n v="418789.09"/>
    <s v="CERRADA"/>
  </r>
  <r>
    <d v="2025-12-16T00:00:00"/>
    <m/>
    <s v="BOMBAS MECANICAS SSW-23 Y SHW-05"/>
    <x v="0"/>
    <s v="ODC"/>
    <s v="ODC"/>
    <n v="0"/>
    <x v="13"/>
    <x v="0"/>
    <s v="PAGO 100%"/>
    <n v="24907.2"/>
    <m/>
    <n v="24907.2"/>
    <m/>
    <m/>
    <x v="0"/>
    <m/>
    <x v="0"/>
    <m/>
    <x v="0"/>
    <m/>
    <m/>
    <m/>
    <m/>
    <m/>
    <m/>
    <m/>
    <n v="0"/>
    <n v="24907.2"/>
    <s v="CERRADA"/>
  </r>
  <r>
    <m/>
    <m/>
    <s v="MANTENIMIENTO TXS EKABEL "/>
    <x v="7"/>
    <s v="ODC"/>
    <s v="ODC"/>
    <n v="0"/>
    <x v="14"/>
    <x v="0"/>
    <m/>
    <n v="2058"/>
    <m/>
    <n v="2058"/>
    <m/>
    <m/>
    <x v="0"/>
    <m/>
    <x v="0"/>
    <m/>
    <x v="0"/>
    <m/>
    <m/>
    <m/>
    <m/>
    <m/>
    <m/>
    <m/>
    <n v="0"/>
    <n v="2058"/>
    <s v="CERRADA"/>
  </r>
  <r>
    <d v="2025-12-18T00:00:00"/>
    <m/>
    <s v="JUNTAS"/>
    <x v="9"/>
    <s v="ODC"/>
    <s v="ODC"/>
    <n v="0"/>
    <x v="15"/>
    <x v="0"/>
    <s v="PAGO TOTAL"/>
    <n v="48148"/>
    <d v="2025-12-22T00:00:00"/>
    <n v="48148"/>
    <m/>
    <m/>
    <x v="0"/>
    <m/>
    <x v="0"/>
    <m/>
    <x v="0"/>
    <m/>
    <m/>
    <m/>
    <m/>
    <m/>
    <m/>
    <m/>
    <n v="0"/>
    <n v="48148"/>
    <s v="CERRADA"/>
  </r>
  <r>
    <d v="2025-12-19T00:00:00"/>
    <m/>
    <s v="QUIMICA Y SERVICIO SSW-23 BARINAS"/>
    <x v="10"/>
    <s v="ODC"/>
    <s v="ODC"/>
    <n v="0"/>
    <x v="16"/>
    <x v="0"/>
    <s v="PAGO TOTAL"/>
    <n v="65670"/>
    <m/>
    <n v="65670"/>
    <m/>
    <m/>
    <x v="0"/>
    <m/>
    <x v="0"/>
    <m/>
    <x v="0"/>
    <m/>
    <m/>
    <m/>
    <m/>
    <m/>
    <m/>
    <m/>
    <n v="0"/>
    <n v="65670"/>
    <s v="CERRADA"/>
  </r>
  <r>
    <d v="2025-12-22T00:00:00"/>
    <m/>
    <s v="BOMBA INSERTA ANCLAJE INFERIOR POZO BEJ-13"/>
    <x v="0"/>
    <s v="ODC"/>
    <s v="ODC"/>
    <n v="0"/>
    <x v="17"/>
    <x v="0"/>
    <s v="PAGO TOTAL"/>
    <n v="11802"/>
    <m/>
    <n v="11802"/>
    <m/>
    <m/>
    <x v="0"/>
    <m/>
    <x v="0"/>
    <m/>
    <x v="0"/>
    <m/>
    <m/>
    <m/>
    <m/>
    <m/>
    <m/>
    <m/>
    <n v="0"/>
    <n v="11802"/>
    <s v="CERRADA"/>
  </r>
  <r>
    <d v="2025-12-25T00:00:00"/>
    <m/>
    <s v="INSTALACION Y EXTRACCIÓN BES POZOS APURE"/>
    <x v="11"/>
    <s v="ODC"/>
    <s v="ODC"/>
    <n v="0"/>
    <x v="18"/>
    <x v="0"/>
    <s v="PAGO TOTAL"/>
    <n v="69343.28"/>
    <m/>
    <n v="69343.28"/>
    <m/>
    <m/>
    <x v="0"/>
    <m/>
    <x v="0"/>
    <m/>
    <x v="0"/>
    <m/>
    <m/>
    <m/>
    <m/>
    <m/>
    <m/>
    <m/>
    <n v="0"/>
    <n v="69343.28"/>
    <s v="CERRADA"/>
  </r>
  <r>
    <d v="2026-01-08T00:00:00"/>
    <s v="2000.13.07"/>
    <s v="ADQUISICION DE EQUIPOS BEST"/>
    <x v="12"/>
    <s v="ODC"/>
    <s v="ODC"/>
    <n v="0"/>
    <x v="19"/>
    <x v="0"/>
    <s v="50% ANTICIPO ,40% A ENTREGA,Y 10% CON INFORME ACEPTACION"/>
    <n v="86579"/>
    <d v="2026-02-05T00:00:00"/>
    <n v="64934.2"/>
    <d v="2026-02-18T00:00:00"/>
    <n v="12986.85"/>
    <x v="4"/>
    <n v="8657.950000000001"/>
    <x v="0"/>
    <m/>
    <x v="0"/>
    <m/>
    <m/>
    <m/>
    <m/>
    <m/>
    <m/>
    <m/>
    <n v="0"/>
    <n v="86579"/>
    <s v="CERRADA"/>
  </r>
  <r>
    <m/>
    <m/>
    <s v="SERVICIO TECNICO DE INSTALACION DE BOMBAS"/>
    <x v="8"/>
    <s v="ODC"/>
    <s v="ODC"/>
    <n v="0"/>
    <x v="20"/>
    <x v="0"/>
    <s v="SERVICIO TECNICO DE INSTALACION DE BOMBAS"/>
    <n v="4500"/>
    <d v="2025-12-31T00:00:00"/>
    <n v="4500"/>
    <m/>
    <m/>
    <x v="0"/>
    <m/>
    <x v="0"/>
    <m/>
    <x v="0"/>
    <m/>
    <m/>
    <m/>
    <m/>
    <m/>
    <m/>
    <m/>
    <n v="0"/>
    <n v="4500"/>
    <s v="CERRADA"/>
  </r>
  <r>
    <d v="2026-01-04T00:00:00"/>
    <s v="3000.02"/>
    <s v="MATERIALES DE APOYO CORPOVEN 10"/>
    <x v="13"/>
    <s v="ODC"/>
    <s v="ODC"/>
    <n v="0"/>
    <x v="21"/>
    <x v="0"/>
    <s v="Materiales de apoyo Corpoven 10"/>
    <n v="25141.4"/>
    <m/>
    <n v="25141.4"/>
    <m/>
    <m/>
    <x v="0"/>
    <m/>
    <x v="0"/>
    <m/>
    <x v="0"/>
    <m/>
    <m/>
    <m/>
    <m/>
    <m/>
    <m/>
    <m/>
    <n v="0"/>
    <n v="25141.4"/>
    <s v="CERRADA"/>
  </r>
  <r>
    <d v="2026-01-04T00:00:00"/>
    <s v="2000.10"/>
    <s v="COMPLETACION DE POZOS"/>
    <x v="14"/>
    <s v="ODC"/>
    <s v="ODC"/>
    <n v="0"/>
    <x v="22"/>
    <x v="0"/>
    <s v="Materiales completacion del pozo"/>
    <n v="1438"/>
    <d v="2026-01-08T00:00:00"/>
    <n v="1438"/>
    <m/>
    <m/>
    <x v="0"/>
    <m/>
    <x v="0"/>
    <m/>
    <x v="0"/>
    <m/>
    <m/>
    <m/>
    <m/>
    <m/>
    <m/>
    <m/>
    <n v="0"/>
    <n v="1438"/>
    <s v="CERRADA"/>
  </r>
  <r>
    <d v="2026-01-06T00:00:00"/>
    <s v="2000.11"/>
    <s v="CONFIABILIDAD ELECTRICA (AP)"/>
    <x v="15"/>
    <s v="ODC"/>
    <s v="ODC"/>
    <n v="0"/>
    <x v="23"/>
    <x v="0"/>
    <s v="Adquisicion modulos de proteccion"/>
    <n v="496"/>
    <d v="2026-01-09T00:00:00"/>
    <n v="496"/>
    <m/>
    <m/>
    <x v="0"/>
    <m/>
    <x v="0"/>
    <m/>
    <x v="0"/>
    <m/>
    <m/>
    <m/>
    <m/>
    <m/>
    <m/>
    <m/>
    <n v="0"/>
    <n v="496"/>
    <s v="CERRADA"/>
  </r>
  <r>
    <d v="2026-01-07T00:00:00"/>
    <s v="2000.06.02"/>
    <s v="SERVICIO DE BOMBA DESARENADORA"/>
    <x v="16"/>
    <s v="ODC"/>
    <s v="ODC"/>
    <n v="0"/>
    <x v="24"/>
    <x v="0"/>
    <s v="Servicio Bomba Desarenadora AP"/>
    <n v="7200"/>
    <m/>
    <n v="2450"/>
    <d v="2026-02-05T00:00:00"/>
    <n v="4750"/>
    <x v="0"/>
    <m/>
    <x v="0"/>
    <m/>
    <x v="0"/>
    <m/>
    <m/>
    <m/>
    <m/>
    <m/>
    <m/>
    <m/>
    <n v="0"/>
    <n v="7200"/>
    <s v="CERRADA"/>
  </r>
  <r>
    <d v="2026-01-11T00:00:00"/>
    <s v="2000.13.09"/>
    <s v="SERVICIO DE REPARACIÓN DE VARIADORES (AP)"/>
    <x v="17"/>
    <s v="ODC"/>
    <s v="ODC"/>
    <n v="0"/>
    <x v="25"/>
    <x v="0"/>
    <s v="Repuestos y Servicios para variadores Triol ODC-030"/>
    <n v="18433.34"/>
    <m/>
    <n v="18433.34"/>
    <m/>
    <m/>
    <x v="0"/>
    <m/>
    <x v="0"/>
    <m/>
    <x v="0"/>
    <m/>
    <m/>
    <m/>
    <m/>
    <m/>
    <m/>
    <m/>
    <n v="0"/>
    <n v="18433.34"/>
    <s v="CERRADA"/>
  </r>
  <r>
    <d v="2026-01-20T00:00:00"/>
    <s v="2000.08.02"/>
    <s v="ADQUISICIÓN DE EQUIPOS BES (AP)"/>
    <x v="1"/>
    <s v="ODC"/>
    <s v="ODC"/>
    <n v="0"/>
    <x v="26"/>
    <x v="0"/>
    <s v="Anticipo 50% ODC-031 "/>
    <n v="18471.77"/>
    <d v="2026-01-20T00:00:00"/>
    <n v="9235.889999999999"/>
    <d v="2026-03-23T00:00:00"/>
    <n v="9235.879999999999"/>
    <x v="0"/>
    <m/>
    <x v="0"/>
    <m/>
    <x v="0"/>
    <m/>
    <m/>
    <m/>
    <m/>
    <m/>
    <m/>
    <m/>
    <n v="0"/>
    <n v="18471.77"/>
    <s v="CERRADA"/>
  </r>
  <r>
    <d v="2026-01-15T00:00:00"/>
    <s v="2000.08.02"/>
    <s v="ADQUISICIÓN DE EQUIPOS BES (AP)"/>
    <x v="1"/>
    <s v="ODC"/>
    <s v="ODC"/>
    <n v="0"/>
    <x v="27"/>
    <x v="0"/>
    <s v="Anticipo 50%  ODC-032"/>
    <n v="59448.28"/>
    <d v="2026-01-20T00:00:00"/>
    <n v="29724.14"/>
    <d v="2026-03-23T00:00:00"/>
    <n v="29724.14"/>
    <x v="0"/>
    <m/>
    <x v="0"/>
    <m/>
    <x v="0"/>
    <m/>
    <m/>
    <m/>
    <m/>
    <m/>
    <m/>
    <m/>
    <n v="0"/>
    <n v="59448.28"/>
    <s v="CERRADA"/>
  </r>
  <r>
    <d v="2026-01-14T00:00:00"/>
    <s v="2000.13.02"/>
    <s v="ALQUILER DE HERRAMIENTAS "/>
    <x v="16"/>
    <s v="ODC"/>
    <s v="ODC"/>
    <n v="0"/>
    <x v="28"/>
    <x v="0"/>
    <s v="SERVICIO DE ALQUILER DE EQUIPOS MOVILES 15-01-2026"/>
    <n v="5840"/>
    <d v="2026-01-15T00:00:00"/>
    <n v="2920"/>
    <d v="2026-01-20T00:00:00"/>
    <n v="2920"/>
    <x v="0"/>
    <m/>
    <x v="0"/>
    <m/>
    <x v="0"/>
    <m/>
    <m/>
    <m/>
    <m/>
    <m/>
    <m/>
    <m/>
    <n v="0"/>
    <n v="5840"/>
    <s v="CERRADA"/>
  </r>
  <r>
    <d v="2026-01-20T00:00:00"/>
    <s v="2000.06.09"/>
    <s v="SUMINISTRO DE QUÍMICOS PARA TRATAMIENTO DE CRUDO (BRN)"/>
    <x v="18"/>
    <s v="ODC"/>
    <s v="ODC"/>
    <n v="0"/>
    <x v="29"/>
    <x v="0"/>
    <s v="BNS y AP (50% para cada uno)"/>
    <n v="10395"/>
    <d v="2026-01-20T00:00:00"/>
    <n v="10395"/>
    <m/>
    <m/>
    <x v="0"/>
    <m/>
    <x v="0"/>
    <m/>
    <x v="0"/>
    <m/>
    <m/>
    <m/>
    <m/>
    <m/>
    <m/>
    <m/>
    <n v="0"/>
    <n v="10395"/>
    <s v="CERRADA"/>
  </r>
  <r>
    <d v="2026-01-17T00:00:00"/>
    <s v="2000.16.02"/>
    <s v="EQUIPOS DE BOMBEO MECANICO"/>
    <x v="19"/>
    <s v="ODC"/>
    <s v="ODC"/>
    <n v="0"/>
    <x v="30"/>
    <x v="0"/>
    <s v="PAGO TOTAL"/>
    <n v="3855"/>
    <d v="2026-04-22T00:00:00"/>
    <n v="3855"/>
    <m/>
    <m/>
    <x v="0"/>
    <m/>
    <x v="0"/>
    <m/>
    <x v="0"/>
    <m/>
    <m/>
    <m/>
    <m/>
    <m/>
    <m/>
    <m/>
    <n v="0"/>
    <n v="3855"/>
    <s v="CERRADA"/>
  </r>
  <r>
    <d v="2026-01-19T00:00:00"/>
    <s v="2000.13.07"/>
    <s v="SERVICIO DE REPARACIÓN DE EQUIPOS BES (AP)"/>
    <x v="12"/>
    <s v="ODC"/>
    <s v="ODC"/>
    <n v="0"/>
    <x v="31"/>
    <x v="0"/>
    <s v="PAGO TOTAL"/>
    <n v="16588.8"/>
    <d v="2026-01-19T00:00:00"/>
    <n v="16588.8"/>
    <m/>
    <m/>
    <x v="0"/>
    <m/>
    <x v="0"/>
    <m/>
    <x v="0"/>
    <m/>
    <m/>
    <m/>
    <m/>
    <m/>
    <m/>
    <m/>
    <n v="0"/>
    <n v="16588.8"/>
    <s v="CERRADA"/>
  </r>
  <r>
    <d v="2026-01-19T00:00:00"/>
    <s v="2000.06.09"/>
    <s v="SUMINISTRO DE QUÍMICOS PARA TRATAMIENTO DE CRUDO (BRN)"/>
    <x v="10"/>
    <s v="ODC"/>
    <s v="ODC"/>
    <n v="0"/>
    <x v="32"/>
    <x v="0"/>
    <s v="PAGO TOTAL"/>
    <n v="25548.9"/>
    <m/>
    <n v="25548.9"/>
    <m/>
    <m/>
    <x v="0"/>
    <m/>
    <x v="0"/>
    <m/>
    <x v="0"/>
    <m/>
    <m/>
    <m/>
    <m/>
    <m/>
    <m/>
    <m/>
    <n v="0"/>
    <n v="25548.9"/>
    <s v="CERRADA"/>
  </r>
  <r>
    <d v="2026-01-21T00:00:00"/>
    <s v="2000.01.05"/>
    <s v="BOMBAS MECANICAS"/>
    <x v="0"/>
    <s v="ODC"/>
    <s v="ODC"/>
    <n v="0"/>
    <x v="33"/>
    <x v="0"/>
    <s v="PAGO TOTAL"/>
    <n v="23772"/>
    <d v="2026-01-21T00:00:00"/>
    <n v="23772"/>
    <m/>
    <m/>
    <x v="0"/>
    <m/>
    <x v="0"/>
    <m/>
    <x v="0"/>
    <m/>
    <m/>
    <m/>
    <m/>
    <m/>
    <m/>
    <m/>
    <n v="0"/>
    <n v="23772"/>
    <s v="CERRADA"/>
  </r>
  <r>
    <d v="2026-01-20T00:00:00"/>
    <s v="2000.13.09"/>
    <s v="SERVICIO DE REPARACIÓN DE VARIADORES (AP)"/>
    <x v="17"/>
    <s v="ODC"/>
    <s v="ODC"/>
    <n v="0"/>
    <x v="34"/>
    <x v="0"/>
    <s v="PAGO TOTAL"/>
    <n v="9758.74"/>
    <d v="2026-01-20T00:00:00"/>
    <n v="9758.74"/>
    <m/>
    <m/>
    <x v="0"/>
    <m/>
    <x v="0"/>
    <m/>
    <x v="0"/>
    <m/>
    <m/>
    <m/>
    <m/>
    <m/>
    <m/>
    <m/>
    <n v="0"/>
    <n v="9758.74"/>
    <s v="CERRADA"/>
  </r>
  <r>
    <d v="2026-01-26T00:00:00"/>
    <s v="2000.08.02"/>
    <s v="ADQUISICIÓN DE EQUIPOS BES"/>
    <x v="1"/>
    <s v="ODC"/>
    <s v="ODC"/>
    <n v="0"/>
    <x v="35"/>
    <x v="0"/>
    <s v="ADQUISICION MATERIALES POZOS LVT-053, LVT-027 Y GF-092"/>
    <n v="33009.24"/>
    <d v="2026-02-02T00:00:00"/>
    <n v="16504.62"/>
    <d v="2026-03-23T00:00:00"/>
    <n v="16504.62"/>
    <x v="0"/>
    <m/>
    <x v="0"/>
    <m/>
    <x v="0"/>
    <m/>
    <m/>
    <m/>
    <m/>
    <m/>
    <m/>
    <m/>
    <n v="0"/>
    <n v="33009.24"/>
    <s v="CERRADA"/>
  </r>
  <r>
    <d v="2026-01-26T00:00:00"/>
    <s v="2000.11.02"/>
    <s v="ADQUISCION DE EQUIPOS PARA MEDICION ELECTRICA"/>
    <x v="14"/>
    <s v="ODC"/>
    <s v="ODC"/>
    <n v="0"/>
    <x v="36"/>
    <x v="0"/>
    <s v="50 % ODC Y 50% CONTRA ENTREGA "/>
    <n v="3500"/>
    <d v="2026-02-05T00:00:00"/>
    <n v="3500"/>
    <m/>
    <m/>
    <x v="0"/>
    <m/>
    <x v="0"/>
    <m/>
    <x v="0"/>
    <m/>
    <m/>
    <m/>
    <m/>
    <m/>
    <m/>
    <m/>
    <n v="0"/>
    <n v="3500"/>
    <s v="CERRADA"/>
  </r>
  <r>
    <d v="2026-01-30T00:00:00"/>
    <s v="2000.08.02"/>
    <s v="ADQUISICIÓN DE EQUIPOS BES"/>
    <x v="20"/>
    <s v="ODC"/>
    <s v="ODC"/>
    <n v="0"/>
    <x v="37"/>
    <x v="0"/>
    <s v="Adquisición de equipos BES"/>
    <n v="38837.04"/>
    <d v="2026-01-30T00:00:00"/>
    <n v="38837.04"/>
    <m/>
    <m/>
    <x v="0"/>
    <m/>
    <x v="0"/>
    <m/>
    <x v="0"/>
    <m/>
    <m/>
    <m/>
    <m/>
    <m/>
    <m/>
    <m/>
    <n v="0"/>
    <n v="38837.04"/>
    <s v="CERRADA"/>
  </r>
  <r>
    <d v="2026-01-30T00:00:00"/>
    <s v="2000.01.02"/>
    <s v="ADQUISICIÓN DE EQUIPOS BES"/>
    <x v="1"/>
    <s v="ODC"/>
    <s v="ODC"/>
    <n v="0"/>
    <x v="38"/>
    <x v="0"/>
    <s v="30% ANTICIPO,70% A 90 DIAS DE LA ENTREGA"/>
    <n v="179804.2"/>
    <d v="2026-02-03T00:00:00"/>
    <n v="53941.26"/>
    <d v="2026-05-25T00:00:00"/>
    <n v="125862.94"/>
    <x v="0"/>
    <m/>
    <x v="0"/>
    <m/>
    <x v="0"/>
    <m/>
    <m/>
    <m/>
    <m/>
    <m/>
    <m/>
    <m/>
    <n v="0"/>
    <n v="179804.2"/>
    <s v="CERRADA"/>
  </r>
  <r>
    <d v="2026-01-30T00:00:00"/>
    <s v="2000.02.04"/>
    <s v="ADQUISICIÓN DE EQUIPOS BES"/>
    <x v="8"/>
    <s v="ODC"/>
    <s v="ODC"/>
    <n v="0"/>
    <x v="39"/>
    <x v="0"/>
    <s v="50% ANTICIPO, 50% CON ENTREGA"/>
    <n v="267500"/>
    <d v="2026-01-30T00:00:00"/>
    <n v="133750"/>
    <d v="2026-02-10T00:00:00"/>
    <n v="38837.04"/>
    <x v="5"/>
    <n v="67377.46000000001"/>
    <x v="3"/>
    <n v="27535.5"/>
    <x v="0"/>
    <m/>
    <m/>
    <m/>
    <m/>
    <m/>
    <m/>
    <m/>
    <n v="0"/>
    <n v="267500"/>
    <s v="CERRADA"/>
  </r>
  <r>
    <d v="2026-01-28T00:00:00"/>
    <s v="2000.13.07"/>
    <s v="MISCELANEOS SIST. 3Y4"/>
    <x v="12"/>
    <s v="ODC"/>
    <s v="ODC"/>
    <n v="0"/>
    <x v="40"/>
    <x v="0"/>
    <s v="MISCELANEOS SIST. 3Y4"/>
    <n v="16588.8"/>
    <d v="2026-02-05T00:00:00"/>
    <n v="16588.8"/>
    <m/>
    <m/>
    <x v="0"/>
    <m/>
    <x v="0"/>
    <m/>
    <x v="0"/>
    <m/>
    <m/>
    <m/>
    <m/>
    <m/>
    <m/>
    <m/>
    <n v="0"/>
    <n v="16588.8"/>
    <s v="CERRADA"/>
  </r>
  <r>
    <d v="2026-01-30T00:00:00"/>
    <s v="2000.01.05"/>
    <s v="BOMBAS MECANICAS"/>
    <x v="0"/>
    <s v="ODC"/>
    <s v="ODC"/>
    <n v="0"/>
    <x v="41"/>
    <x v="0"/>
    <s v="BOMBAS MECANICAS"/>
    <n v="11252"/>
    <d v="2026-01-30T00:00:00"/>
    <n v="11252"/>
    <m/>
    <m/>
    <x v="0"/>
    <m/>
    <x v="0"/>
    <m/>
    <x v="0"/>
    <m/>
    <m/>
    <m/>
    <m/>
    <m/>
    <m/>
    <m/>
    <n v="0"/>
    <n v="11252"/>
    <s v="CERRADA"/>
  </r>
  <r>
    <d v="2026-01-30T00:00:00"/>
    <s v="2000.05.04"/>
    <s v="COMPRA KIT DE MEDICION TANQUES Y LABORATORIO"/>
    <x v="21"/>
    <s v="ODC"/>
    <s v="ODC"/>
    <n v="0"/>
    <x v="42"/>
    <x v="0"/>
    <s v="50% ANTICIPO,25% CONTRA INSPECCION,25% CONTRA NOTIFICACION DE ENTREGA"/>
    <n v="28184"/>
    <d v="2026-01-30T00:00:00"/>
    <n v="14092"/>
    <d v="2026-03-19T00:00:00"/>
    <n v="5414"/>
    <x v="6"/>
    <n v="8678"/>
    <x v="0"/>
    <m/>
    <x v="0"/>
    <m/>
    <m/>
    <m/>
    <m/>
    <m/>
    <m/>
    <m/>
    <n v="0"/>
    <n v="28184"/>
    <s v="CERRADA"/>
  </r>
  <r>
    <d v="2026-02-02T00:00:00"/>
    <s v="2000.01.01  2000.08.01"/>
    <s v="CABLE AWG 1 Y 2 GAMONTY"/>
    <x v="2"/>
    <s v="ODC"/>
    <s v="ODC"/>
    <n v="0"/>
    <x v="43"/>
    <x v="0"/>
    <s v="30% CON ODC,30% CON ENTREGA(10DIAS),40% 70 DIAS POSTERIOR A LA ENTREGA"/>
    <n v="1096600"/>
    <d v="2026-02-06T00:00:00"/>
    <n v="328980"/>
    <d v="2026-03-30T00:00:00"/>
    <n v="164475"/>
    <x v="7"/>
    <n v="164490"/>
    <x v="4"/>
    <n v="109671.5"/>
    <x v="2"/>
    <n v="100000"/>
    <d v="2026-07-17T00:00:00"/>
    <n v="128983.5"/>
    <d v="2026-08-18T00:00:00"/>
    <n v="100000"/>
    <m/>
    <m/>
    <n v="0"/>
    <n v="1096600"/>
    <s v="CERRADA"/>
  </r>
  <r>
    <d v="2026-02-06T00:00:00"/>
    <s v="2000.05.04"/>
    <s v="TERMOMETRO DIGITAL"/>
    <x v="21"/>
    <s v="ODC"/>
    <s v="ODC"/>
    <n v="0"/>
    <x v="44"/>
    <x v="0"/>
    <s v="50% CON ODC-50% ENTREGA 2 A SEMANAS"/>
    <n v="10464"/>
    <d v="2026-02-10T00:00:00"/>
    <n v="5232"/>
    <d v="2026-03-19T00:00:00"/>
    <n v="5232"/>
    <x v="0"/>
    <m/>
    <x v="0"/>
    <m/>
    <x v="0"/>
    <m/>
    <m/>
    <m/>
    <m/>
    <m/>
    <m/>
    <m/>
    <n v="0"/>
    <n v="10464"/>
    <s v="CERRADA"/>
  </r>
  <r>
    <d v="2026-02-06T00:00:00"/>
    <m/>
    <s v="COLGADOR 7 PULGADAS"/>
    <x v="12"/>
    <s v="ODC"/>
    <s v="ODC"/>
    <n v="0"/>
    <x v="45"/>
    <x v="0"/>
    <s v="100% CON ODC"/>
    <n v="6830.79"/>
    <d v="2026-04-23T00:00:00"/>
    <n v="6830.79"/>
    <m/>
    <m/>
    <x v="0"/>
    <m/>
    <x v="0"/>
    <m/>
    <x v="0"/>
    <m/>
    <m/>
    <m/>
    <m/>
    <m/>
    <m/>
    <m/>
    <n v="0"/>
    <n v="6830.79"/>
    <s v="CERRADA"/>
  </r>
  <r>
    <d v="2026-02-06T00:00:00"/>
    <s v="2000.14"/>
    <s v="LUBRICANTES GENERACION ELECTRICA"/>
    <x v="22"/>
    <s v="ODC"/>
    <s v="ODC"/>
    <n v="0"/>
    <x v="46"/>
    <x v="0"/>
    <s v="30% CON ODC-70% CON ENTREGA 1 SEMANA"/>
    <n v="34643.75"/>
    <d v="2026-02-10T00:00:00"/>
    <n v="10393.13"/>
    <d v="2026-02-19T00:00:00"/>
    <n v="24250.62"/>
    <x v="0"/>
    <m/>
    <x v="0"/>
    <m/>
    <x v="0"/>
    <m/>
    <m/>
    <m/>
    <m/>
    <m/>
    <m/>
    <m/>
    <n v="0"/>
    <n v="34643.75"/>
    <s v="CERRADA"/>
  </r>
  <r>
    <d v="2026-02-06T00:00:00"/>
    <s v="2000.14"/>
    <s v="LUBRICANTES GENERACION ELECTRICA2"/>
    <x v="23"/>
    <s v="ODC"/>
    <s v="ODC"/>
    <n v="0"/>
    <x v="47"/>
    <x v="0"/>
    <s v="40% CON ODC-60% CON ENTREGA 1 SEMANA"/>
    <n v="10509.51"/>
    <d v="2026-02-18T00:00:00"/>
    <n v="3623.97"/>
    <d v="2026-03-03T00:00:00"/>
    <n v="5435.95"/>
    <x v="0"/>
    <m/>
    <x v="0"/>
    <m/>
    <x v="0"/>
    <m/>
    <m/>
    <m/>
    <m/>
    <m/>
    <m/>
    <m/>
    <n v="1449.59"/>
    <n v="9059.92"/>
    <s v=""/>
  </r>
  <r>
    <d v="2026-02-06T00:00:00"/>
    <s v="2000.14"/>
    <s v="LUBRICANTES GENERACION ELECTRICA3"/>
    <x v="24"/>
    <s v="ODC"/>
    <s v="ODC"/>
    <n v="0"/>
    <x v="48"/>
    <x v="0"/>
    <s v="100% CON ODC"/>
    <n v="1400"/>
    <d v="2026-02-21T00:00:00"/>
    <n v="1400"/>
    <m/>
    <m/>
    <x v="0"/>
    <m/>
    <x v="0"/>
    <m/>
    <x v="0"/>
    <m/>
    <m/>
    <m/>
    <m/>
    <m/>
    <m/>
    <m/>
    <n v="0"/>
    <n v="1400"/>
    <s v="CERRADA"/>
  </r>
  <r>
    <d v="2026-02-06T00:00:00"/>
    <s v="2000.15.01 "/>
    <s v="EMPACADURAS LAMINA MAMUSA"/>
    <x v="25"/>
    <s v="ODC"/>
    <s v="ODC"/>
    <n v="0"/>
    <x v="49"/>
    <x v="0"/>
    <s v="30% CON OCD,70% CON ENTREGA 15 DIAS"/>
    <n v="5167.8"/>
    <s v="18.02.2026"/>
    <n v="1336.5"/>
    <d v="2026-03-03T00:00:00"/>
    <n v="3831.3"/>
    <x v="0"/>
    <m/>
    <x v="0"/>
    <m/>
    <x v="0"/>
    <m/>
    <m/>
    <m/>
    <m/>
    <m/>
    <m/>
    <m/>
    <n v="0"/>
    <n v="5167.8"/>
    <s v="CERRADA"/>
  </r>
  <r>
    <d v="2026-02-07T00:00:00"/>
    <s v="2000.15.01 "/>
    <s v="EMPACADURAS ESPARRAGOS VALTRA"/>
    <x v="26"/>
    <s v="ODC"/>
    <s v="ODC"/>
    <n v="0"/>
    <x v="50"/>
    <x v="0"/>
    <s v="30% CON ODC,70% CON ENTREGA 5 DIAS"/>
    <n v="1300"/>
    <d v="2026-02-10T00:00:00"/>
    <n v="390"/>
    <d v="2026-02-21T00:00:00"/>
    <n v="910"/>
    <x v="0"/>
    <m/>
    <x v="0"/>
    <m/>
    <x v="0"/>
    <m/>
    <m/>
    <m/>
    <m/>
    <m/>
    <m/>
    <m/>
    <n v="0"/>
    <n v="1300"/>
    <s v="CERRADA"/>
  </r>
  <r>
    <d v="2026-02-07T00:00:00"/>
    <s v="2000.09.02"/>
    <s v="TRANSFORMADORES DE POTENCIA SDT Y SUT"/>
    <x v="27"/>
    <s v="ODC"/>
    <s v="ODC"/>
    <n v="0"/>
    <x v="51"/>
    <x v="0"/>
    <s v="35% CON ODC,45% CON ENTREGA,20% A 60 DIAS"/>
    <n v="217310.1"/>
    <d v="2026-02-18T00:00:00"/>
    <n v="76058.53999999999"/>
    <d v="2026-03-13T00:00:00"/>
    <n v="97789.545"/>
    <x v="0"/>
    <n v="43462.02"/>
    <x v="0"/>
    <m/>
    <x v="0"/>
    <m/>
    <m/>
    <m/>
    <m/>
    <m/>
    <m/>
    <m/>
    <n v="-0.004999999975552782"/>
    <n v="217310.105"/>
    <s v=""/>
  </r>
  <r>
    <d v="2026-02-07T00:00:00"/>
    <s v="2000.15.01"/>
    <s v="CORREAS"/>
    <x v="28"/>
    <s v="ODC"/>
    <s v="ODC"/>
    <n v="0"/>
    <x v="52"/>
    <x v="0"/>
    <s v="40% C0N ODC, 60% CONTRA ENTREGA A 5 DIAS"/>
    <n v="7195.92"/>
    <d v="2026-02-18T00:00:00"/>
    <n v="2878.37"/>
    <d v="2026-02-21T00:00:00"/>
    <n v="4317.55"/>
    <x v="0"/>
    <m/>
    <x v="0"/>
    <m/>
    <x v="0"/>
    <m/>
    <m/>
    <m/>
    <m/>
    <m/>
    <m/>
    <m/>
    <n v="0"/>
    <n v="7195.92"/>
    <s v="CERRADA"/>
  </r>
  <r>
    <d v="2026-02-07T00:00:00"/>
    <s v="2000.01.02"/>
    <s v="SISTEMA BES SIN-033 BARINAS"/>
    <x v="1"/>
    <s v="ODC"/>
    <s v="ODC"/>
    <n v="0"/>
    <x v="53"/>
    <x v="0"/>
    <s v="30% CON ODC,70% LUEGO DE 90 DIAS ENTREGA"/>
    <n v="75602.38"/>
    <d v="2026-02-26T00:00:00"/>
    <n v="22680.71"/>
    <d v="2026-05-24T00:00:00"/>
    <n v="52921.67"/>
    <x v="0"/>
    <m/>
    <x v="0"/>
    <m/>
    <x v="0"/>
    <m/>
    <m/>
    <m/>
    <m/>
    <m/>
    <m/>
    <m/>
    <n v="0"/>
    <n v="75602.38"/>
    <s v="CERRADA"/>
  </r>
  <r>
    <d v="2026-02-09T00:00:00"/>
    <s v="2000.15.01"/>
    <s v="CORREAS CM SUM"/>
    <x v="29"/>
    <s v="ODC"/>
    <s v="ODC"/>
    <n v="0"/>
    <x v="54"/>
    <x v="0"/>
    <s v="COND. PAGO: EN BOLIVARES A TASA BCV, 60% CON LA ODC Y 40% CONTRA ENTREGA."/>
    <n v="10418.7"/>
    <d v="2026-02-19T00:00:00"/>
    <n v="6251.22"/>
    <d v="2026-02-24T00:00:00"/>
    <n v="4167.48"/>
    <x v="0"/>
    <m/>
    <x v="0"/>
    <m/>
    <x v="0"/>
    <m/>
    <m/>
    <m/>
    <m/>
    <m/>
    <m/>
    <m/>
    <n v="0"/>
    <n v="10418.7"/>
    <s v="CERRADA"/>
  </r>
  <r>
    <d v="2026-02-09T00:00:00"/>
    <s v="2000.08.02"/>
    <s v="ADQUISICION DE SISTEMA BES GF-092, APURE"/>
    <x v="8"/>
    <s v="ODC"/>
    <s v="ODC"/>
    <n v="0"/>
    <x v="55"/>
    <x v="0"/>
    <s v="COND PAGO: 30% CON LA ODC, 30% CON LA ENTREGA. 40% A 60 DIAS."/>
    <n v="224591.53"/>
    <s v="12.02.2026"/>
    <n v="67377.46000000001"/>
    <s v="13.02.2026"/>
    <n v="67377.46000000001"/>
    <x v="8"/>
    <n v="89836.61"/>
    <x v="0"/>
    <m/>
    <x v="0"/>
    <m/>
    <m/>
    <m/>
    <m/>
    <m/>
    <m/>
    <m/>
    <n v="0"/>
    <n v="224591.53"/>
    <s v="CERRADA"/>
  </r>
  <r>
    <d v="2026-02-10T00:00:00"/>
    <m/>
    <s v="ADQUISICION DE BOMBA TIPO TUBERIA POZO SIN-098, BARINAS"/>
    <x v="0"/>
    <s v="ODC"/>
    <s v="ODC"/>
    <n v="0"/>
    <x v="56"/>
    <x v="0"/>
    <s v="PAGO TOTAL"/>
    <n v="13170"/>
    <d v="2026-02-13T00:00:00"/>
    <n v="13170"/>
    <m/>
    <m/>
    <x v="0"/>
    <m/>
    <x v="0"/>
    <m/>
    <x v="0"/>
    <m/>
    <m/>
    <m/>
    <m/>
    <m/>
    <m/>
    <m/>
    <n v="0"/>
    <n v="13170"/>
    <s v="CERRADA"/>
  </r>
  <r>
    <d v="2026-02-11T00:00:00"/>
    <s v="2000.08.02"/>
    <s v="MISCELANEOS LVT-12 GF-106 Y SISTEMA BES GF-213R2, APURE"/>
    <x v="1"/>
    <s v="ODC"/>
    <s v="ODC"/>
    <n v="0"/>
    <x v="57"/>
    <x v="0"/>
    <s v="COND PAGO: 30% CON LA ODC, 70% CON LA ENTREGA A 90 DIAS."/>
    <n v="68975.08"/>
    <d v="2026-03-03T00:00:00"/>
    <n v="20692.52"/>
    <d v="2026-05-07T00:00:00"/>
    <n v="48000"/>
    <x v="9"/>
    <n v="282.56"/>
    <x v="0"/>
    <m/>
    <x v="0"/>
    <m/>
    <m/>
    <m/>
    <m/>
    <m/>
    <m/>
    <m/>
    <n v="0"/>
    <n v="68975.08"/>
    <s v="CERRADA"/>
  </r>
  <r>
    <d v="2026-02-11T00:00:00"/>
    <m/>
    <s v="REPARACION DE SELLOS E INTAKE 5 Y 6"/>
    <x v="12"/>
    <s v="ODC"/>
    <s v="ODC"/>
    <n v="0"/>
    <x v="58"/>
    <x v="0"/>
    <s v="COND. DE PAGO : 50% , 40%, 10%"/>
    <n v="49918"/>
    <d v="2026-03-02T00:00:00"/>
    <n v="24959"/>
    <d v="2026-03-25T00:00:00"/>
    <n v="19967.2"/>
    <x v="4"/>
    <n v="2381.85"/>
    <x v="5"/>
    <n v="2609.95"/>
    <x v="0"/>
    <m/>
    <m/>
    <m/>
    <m/>
    <m/>
    <m/>
    <m/>
    <n v="0"/>
    <n v="49917.99999999999"/>
    <s v="CERRADA"/>
  </r>
  <r>
    <d v="2026-02-11T00:00:00"/>
    <m/>
    <s v="MISCELANEOS PARA SISTEMAS 5Y6 EXCEL"/>
    <x v="12"/>
    <s v="ODC"/>
    <s v="ODC"/>
    <n v="0"/>
    <x v="59"/>
    <x v="0"/>
    <s v="COND. DE PAGO : 100% "/>
    <n v="21774.34"/>
    <d v="2026-03-02T00:00:00"/>
    <n v="21774.34"/>
    <m/>
    <m/>
    <x v="0"/>
    <m/>
    <x v="0"/>
    <m/>
    <x v="0"/>
    <m/>
    <m/>
    <m/>
    <m/>
    <m/>
    <m/>
    <m/>
    <n v="0"/>
    <n v="21774.34"/>
    <s v="CERRADA"/>
  </r>
  <r>
    <d v="2026-02-14T00:00:00"/>
    <m/>
    <s v="VDF 480KVA NEW TECH II"/>
    <x v="8"/>
    <s v="ODC"/>
    <s v="ODC"/>
    <n v="0"/>
    <x v="60"/>
    <x v="0"/>
    <s v="COND.PAGO 50% CON ODC, 50% CONTRA ENTREGA EN CAMPO"/>
    <n v="180000"/>
    <d v="2026-03-03T00:00:00"/>
    <n v="90000"/>
    <d v="2026-04-30T00:00:00"/>
    <n v="90000"/>
    <x v="0"/>
    <m/>
    <x v="0"/>
    <m/>
    <x v="0"/>
    <m/>
    <m/>
    <m/>
    <m/>
    <m/>
    <m/>
    <m/>
    <n v="0"/>
    <n v="180000"/>
    <s v="CERRADA"/>
  </r>
  <r>
    <d v="2026-02-14T00:00:00"/>
    <m/>
    <s v="QUIMICA PARA POZOS KCL Y XANTICA COLVEN-01"/>
    <x v="20"/>
    <s v="ODC"/>
    <s v="ODC"/>
    <n v="0"/>
    <x v="61"/>
    <x v="0"/>
    <m/>
    <n v="46809.25"/>
    <m/>
    <m/>
    <m/>
    <m/>
    <x v="0"/>
    <m/>
    <x v="0"/>
    <m/>
    <x v="0"/>
    <m/>
    <m/>
    <m/>
    <m/>
    <m/>
    <m/>
    <m/>
    <n v="46809.25"/>
    <n v="0"/>
    <s v=""/>
  </r>
  <r>
    <d v="2026-02-14T00:00:00"/>
    <s v="2000.13.10"/>
    <s v="QUIMICA PARA POZOS KCL Y XANTICA CORPOVEN-10"/>
    <x v="30"/>
    <s v="ODC"/>
    <s v="ODC"/>
    <n v="0"/>
    <x v="62"/>
    <x v="0"/>
    <n v="1"/>
    <n v="37162.5"/>
    <d v="2026-02-24T00:00:00"/>
    <n v="37162.5"/>
    <m/>
    <m/>
    <x v="0"/>
    <m/>
    <x v="0"/>
    <m/>
    <x v="0"/>
    <m/>
    <m/>
    <m/>
    <m/>
    <m/>
    <m/>
    <m/>
    <n v="0"/>
    <n v="37162.5"/>
    <s v="CERRADA"/>
  </r>
  <r>
    <d v="2026-02-17T00:00:00"/>
    <s v="2000.11.02"/>
    <s v="ADQUISICION DE FILTROS"/>
    <x v="31"/>
    <s v="ODC"/>
    <s v="ODC"/>
    <n v="0"/>
    <x v="63"/>
    <x v="0"/>
    <s v="COND.50% CON ODC , 50%  7 DIAS POSTERIOR A ENTREGA"/>
    <n v="32453.13"/>
    <d v="2026-03-03T00:00:00"/>
    <n v="16226.56"/>
    <d v="2026-06-04T00:00:00"/>
    <n v="16226.57"/>
    <x v="0"/>
    <m/>
    <x v="0"/>
    <m/>
    <x v="0"/>
    <m/>
    <m/>
    <m/>
    <m/>
    <m/>
    <m/>
    <m/>
    <n v="0"/>
    <n v="32453.13"/>
    <s v="CERRADA"/>
  </r>
  <r>
    <d v="2026-02-17T00:00:00"/>
    <s v="2000.08.02"/>
    <s v="ADQUISICION DE PUP JOINTS APURE"/>
    <x v="16"/>
    <s v="ODC"/>
    <s v="ODC"/>
    <n v="0"/>
    <x v="64"/>
    <x v="0"/>
    <n v="1"/>
    <n v="7490"/>
    <d v="2026-03-03T00:00:00"/>
    <n v="7490"/>
    <m/>
    <m/>
    <x v="0"/>
    <m/>
    <x v="0"/>
    <m/>
    <x v="0"/>
    <m/>
    <m/>
    <m/>
    <m/>
    <m/>
    <m/>
    <m/>
    <n v="0"/>
    <n v="7490"/>
    <s v="CERRADA"/>
  </r>
  <r>
    <s v="17-feb-26"/>
    <s v="2000.08.02"/>
    <s v="ADQUISICION DE POSEIDON PUMP DEFENDER, APURE"/>
    <x v="30"/>
    <s v="ODC"/>
    <s v="ODC"/>
    <n v="0"/>
    <x v="65"/>
    <x v="0"/>
    <n v="1"/>
    <n v="123100"/>
    <d v="2026-02-24T00:00:00"/>
    <n v="123100"/>
    <m/>
    <m/>
    <x v="0"/>
    <m/>
    <x v="0"/>
    <m/>
    <x v="0"/>
    <m/>
    <m/>
    <m/>
    <m/>
    <m/>
    <m/>
    <m/>
    <n v="0"/>
    <n v="123100"/>
    <s v="CERRADA"/>
  </r>
  <r>
    <d v="2026-03-03T00:00:00"/>
    <m/>
    <s v="ADQUISICIÓN DE MATERIALES PARA SANEAMIENTO DE FILTRACIONES Y DERRAMES BARINAS"/>
    <x v="32"/>
    <s v="ODC"/>
    <s v="ODC"/>
    <n v="0"/>
    <x v="66"/>
    <x v="0"/>
    <n v="1"/>
    <n v="2497.25"/>
    <d v="2026-03-13T00:00:00"/>
    <n v="2497.25"/>
    <m/>
    <m/>
    <x v="0"/>
    <m/>
    <x v="0"/>
    <m/>
    <x v="0"/>
    <m/>
    <m/>
    <m/>
    <m/>
    <m/>
    <m/>
    <m/>
    <n v="0"/>
    <n v="2497.25"/>
    <s v="CERRADA"/>
  </r>
  <r>
    <d v="2026-03-03T00:00:00"/>
    <s v="400.02.13"/>
    <s v="ADQUISICION DE AVISOS, EXTINTOR Y LAMPARA DE EMERGENCIA PARA OFICINA BARINAS"/>
    <x v="33"/>
    <s v="ODC"/>
    <s v="ODC"/>
    <n v="0"/>
    <x v="67"/>
    <x v="0"/>
    <s v="ODC-075 FIRMADA. ESP. APROB. PAGO"/>
    <n v="589"/>
    <d v="2026-03-13T00:00:00"/>
    <n v="589"/>
    <m/>
    <m/>
    <x v="0"/>
    <m/>
    <x v="0"/>
    <m/>
    <x v="0"/>
    <m/>
    <m/>
    <m/>
    <m/>
    <m/>
    <m/>
    <m/>
    <n v="0"/>
    <n v="589"/>
    <s v="CERRADA"/>
  </r>
  <r>
    <d v="2026-03-04T00:00:00"/>
    <m/>
    <s v="ADQUISICIÓN DE MATERIALES PARA SANEAMIENTO DE FILTRACIONES Y DERRAMES APURE"/>
    <x v="34"/>
    <s v="ODC"/>
    <s v="ODC"/>
    <n v="0"/>
    <x v="68"/>
    <x v="0"/>
    <s v="ODC-077 ESP. POR FIRMA EMP."/>
    <n v="1565"/>
    <d v="2026-03-13T00:00:00"/>
    <n v="1565"/>
    <m/>
    <m/>
    <x v="0"/>
    <m/>
    <x v="0"/>
    <m/>
    <x v="0"/>
    <m/>
    <m/>
    <m/>
    <m/>
    <m/>
    <m/>
    <m/>
    <n v="0"/>
    <n v="1565"/>
    <s v="CERRADA"/>
  </r>
  <r>
    <d v="2026-03-05T00:00:00"/>
    <m/>
    <s v="CENTRIFUGAS"/>
    <x v="30"/>
    <s v="ODC"/>
    <s v="ODC"/>
    <n v="0"/>
    <x v="69"/>
    <x v="0"/>
    <s v="50% ODC 50% 30 DIAS A ENTREGA"/>
    <n v="58310"/>
    <d v="2026-04-30T00:00:00"/>
    <n v="29155"/>
    <d v="2026-06-04T00:00:00"/>
    <n v="29155"/>
    <x v="0"/>
    <m/>
    <x v="0"/>
    <m/>
    <x v="0"/>
    <m/>
    <m/>
    <m/>
    <m/>
    <m/>
    <m/>
    <m/>
    <n v="0"/>
    <n v="58310"/>
    <s v="CERRADA"/>
  </r>
  <r>
    <d v="2026-03-04T00:00:00"/>
    <m/>
    <s v="ADQUISICION DE GUANTES CORPOVEN10"/>
    <x v="33"/>
    <s v="ODC"/>
    <s v="ODC"/>
    <n v="0"/>
    <x v="70"/>
    <x v="0"/>
    <s v="MATERIAL ENTREGADO EL SABADO 28 A UWALDO"/>
    <n v="1952"/>
    <d v="2026-03-13T00:00:00"/>
    <n v="1952"/>
    <m/>
    <m/>
    <x v="0"/>
    <m/>
    <x v="0"/>
    <m/>
    <x v="0"/>
    <m/>
    <m/>
    <m/>
    <m/>
    <m/>
    <m/>
    <m/>
    <n v="0"/>
    <n v="1952"/>
    <s v="CERRADA"/>
  </r>
  <r>
    <d v="2026-03-06T00:00:00"/>
    <s v="2000.01.05"/>
    <s v="ADQUISICION DE SISTEMAS DE INYECCION QUIMICA MODELO BR1205 DP-A604"/>
    <x v="30"/>
    <s v="ODC"/>
    <s v="ODC"/>
    <n v="0"/>
    <x v="71"/>
    <x v="0"/>
    <s v="SISTEMA DE INYECCION 50% ODC 50% CON ENTREGA"/>
    <n v="39700"/>
    <d v="2026-03-23T00:00:00"/>
    <n v="19850"/>
    <d v="2026-05-25T00:00:00"/>
    <n v="19850"/>
    <x v="0"/>
    <m/>
    <x v="0"/>
    <m/>
    <x v="0"/>
    <m/>
    <m/>
    <m/>
    <m/>
    <m/>
    <m/>
    <m/>
    <n v="0"/>
    <n v="39700"/>
    <s v="CERRADA"/>
  </r>
  <r>
    <d v="2026-03-06T00:00:00"/>
    <s v="2000,08,02"/>
    <s v="ADQUISICION DE CENTRIFUGA, MUESTREADOR, TUBOS Y TP7"/>
    <x v="8"/>
    <s v="ODC"/>
    <s v="ODC"/>
    <n v="0"/>
    <x v="72"/>
    <x v="0"/>
    <s v="100 %  CON ODC"/>
    <n v="10020"/>
    <d v="2026-05-01T00:00:00"/>
    <n v="10020"/>
    <m/>
    <m/>
    <x v="0"/>
    <m/>
    <x v="0"/>
    <m/>
    <x v="0"/>
    <m/>
    <m/>
    <m/>
    <m/>
    <m/>
    <m/>
    <m/>
    <n v="0"/>
    <n v="10020"/>
    <s v="CERRADA"/>
  </r>
  <r>
    <d v="2026-03-12T00:00:00"/>
    <m/>
    <s v="ADQUISICION DE MOTORES DE 75HP Y 100 HP"/>
    <x v="35"/>
    <s v="ODC"/>
    <s v="ODC"/>
    <n v="0"/>
    <x v="73"/>
    <x v="0"/>
    <s v="70%CON ODC Y 30% A 45 DIAS CON LA ENTREGA"/>
    <n v="34000"/>
    <d v="2026-04-16T00:00:00"/>
    <n v="23800"/>
    <m/>
    <m/>
    <x v="0"/>
    <m/>
    <x v="0"/>
    <m/>
    <x v="0"/>
    <m/>
    <m/>
    <m/>
    <m/>
    <m/>
    <m/>
    <m/>
    <n v="10200"/>
    <n v="23800"/>
    <s v=""/>
  </r>
  <r>
    <d v="2026-03-12T00:00:00"/>
    <m/>
    <s v="ADQUISICION DE GABINETES PARA MOTORES DE 75HP Y 100 HP"/>
    <x v="36"/>
    <s v="ODC"/>
    <s v="ODC"/>
    <n v="0"/>
    <x v="74"/>
    <x v="0"/>
    <s v="ODC-083 POR APROB. DEL SR. DIEGO"/>
    <n v="13202.18"/>
    <d v="2026-03-30T00:00:00"/>
    <n v="13202.18"/>
    <m/>
    <m/>
    <x v="0"/>
    <m/>
    <x v="0"/>
    <m/>
    <x v="0"/>
    <m/>
    <m/>
    <m/>
    <m/>
    <m/>
    <m/>
    <m/>
    <n v="0"/>
    <n v="13202.18"/>
    <s v="CERRADA"/>
  </r>
  <r>
    <d v="2026-03-11T00:00:00"/>
    <s v="2000.01.02 /2000.08.02"/>
    <s v="ADQUISICION DE BES PARA POZOS SIN-030, GF-087 Y SIN-019"/>
    <x v="8"/>
    <s v="ODC"/>
    <s v="ODC"/>
    <n v="0"/>
    <x v="75"/>
    <x v="0"/>
    <s v="ODC-084 FIRMADA ESP. RECIBO 50%"/>
    <n v="700480.76"/>
    <d v="2026-03-12T00:00:00"/>
    <n v="350240.38"/>
    <d v="2026-03-17T00:00:00"/>
    <n v="175120.19"/>
    <x v="10"/>
    <n v="175120.19"/>
    <x v="0"/>
    <m/>
    <x v="0"/>
    <m/>
    <m/>
    <m/>
    <m/>
    <m/>
    <m/>
    <m/>
    <n v="0"/>
    <n v="700480.76"/>
    <s v="CERRADA"/>
  </r>
  <r>
    <d v="2026-03-14T00:00:00"/>
    <s v="2000.06.09"/>
    <s v="SUMINISTRO DE KLC Y GOMA XANTICA"/>
    <x v="30"/>
    <s v="ODC"/>
    <s v="ODC"/>
    <n v="0"/>
    <x v="76"/>
    <x v="0"/>
    <s v="70% CON ODC , 30 % DESPUES DE 30 DIAS DE ENTREGA"/>
    <n v="42820"/>
    <d v="2026-04-30T00:00:00"/>
    <n v="29974"/>
    <d v="2026-06-22T00:00:00"/>
    <n v="12846"/>
    <x v="0"/>
    <m/>
    <x v="0"/>
    <m/>
    <x v="0"/>
    <m/>
    <m/>
    <m/>
    <m/>
    <m/>
    <m/>
    <m/>
    <n v="0"/>
    <n v="42820"/>
    <s v="CERRADA"/>
  </r>
  <r>
    <d v="2026-03-17T00:00:00"/>
    <s v="2000.02.02 - 2000.09.02"/>
    <s v="ADQUISICION DE TRANSFORMADORES DE POTENCIA EN DEVANADO ALUMINIO SDT Y SUT"/>
    <x v="27"/>
    <s v="ODC"/>
    <s v="ODC"/>
    <n v="0"/>
    <x v="77"/>
    <x v="0"/>
    <s v="45%,35%,20% 45 DIAS DESPUES DE ENTREGA"/>
    <n v="242415"/>
    <d v="2026-03-30T00:00:00"/>
    <n v="109086.75"/>
    <d v="2026-04-21T00:00:00"/>
    <n v="33938"/>
    <x v="8"/>
    <n v="33938.1"/>
    <x v="6"/>
    <n v="55755.55"/>
    <x v="3"/>
    <n v="9696.6"/>
    <d v="2026-06-15T00:00:00"/>
    <m/>
    <m/>
    <m/>
    <m/>
    <m/>
    <n v="0"/>
    <n v="242415"/>
    <s v="CERRADA"/>
  </r>
  <r>
    <d v="2026-03-19T00:00:00"/>
    <s v="2000.06.06     20000.13.07"/>
    <s v="REPARACION DE EQUIPOS BEST"/>
    <x v="12"/>
    <s v="ODC"/>
    <s v="ODC"/>
    <n v="0"/>
    <x v="78"/>
    <x v="1"/>
    <s v="SERVICIO DE REVISIÓN Y REPARACION DE SISTEMAS 7 Y 8"/>
    <n v="68693.7"/>
    <d v="2026-03-26T00:00:00"/>
    <n v="43316.7"/>
    <d v="2026-04-23T00:00:00"/>
    <n v="20301.6"/>
    <x v="0"/>
    <m/>
    <x v="0"/>
    <m/>
    <x v="0"/>
    <m/>
    <m/>
    <m/>
    <m/>
    <m/>
    <m/>
    <m/>
    <n v="5075.400000000001"/>
    <n v="63618.3"/>
    <s v=""/>
  </r>
  <r>
    <d v="2026-03-19T00:00:00"/>
    <m/>
    <s v="50% ODC ITEM 1 Y 2  (52.199,00) , 40% ENTREGA, 10% INFORME"/>
    <x v="12"/>
    <s v="ODC"/>
    <s v="ODC"/>
    <n v="0"/>
    <x v="79"/>
    <x v="1"/>
    <s v="SERVICIO DE REVISIÓN Y REPARACION DE SISTEMAS 9 Y 10"/>
    <n v="70589"/>
    <d v="2026-03-30T00:00:00"/>
    <n v="44489.5"/>
    <d v="2026-05-26T00:00:00"/>
    <n v="20301.6"/>
    <x v="0"/>
    <m/>
    <x v="0"/>
    <m/>
    <x v="0"/>
    <m/>
    <m/>
    <m/>
    <m/>
    <m/>
    <m/>
    <m/>
    <n v="5797.900000000001"/>
    <n v="64791.1"/>
    <s v=""/>
  </r>
  <r>
    <d v="2026-03-26T00:00:00"/>
    <s v="400.02.13"/>
    <s v="100 POR CIENTO"/>
    <x v="37"/>
    <s v="ODC"/>
    <s v="ODC"/>
    <n v="0"/>
    <x v="80"/>
    <x v="0"/>
    <s v="SUMINISTRO DE EQUIPOS DE PROTECCION PERSONAL"/>
    <n v="5832.2"/>
    <d v="2026-04-17T00:00:00"/>
    <n v="5832.2"/>
    <m/>
    <m/>
    <x v="0"/>
    <m/>
    <x v="0"/>
    <m/>
    <x v="0"/>
    <m/>
    <m/>
    <m/>
    <m/>
    <m/>
    <m/>
    <m/>
    <n v="0"/>
    <n v="5832.2"/>
    <s v="CERRADA"/>
  </r>
  <r>
    <d v="2026-03-26T00:00:00"/>
    <s v="400.02.13"/>
    <s v="50% CON ODC - 50% CON ENTREGA"/>
    <x v="38"/>
    <s v="ODC"/>
    <s v="ODC"/>
    <n v="0"/>
    <x v="81"/>
    <x v="0"/>
    <s v="SUMINISTRO DE BRAGAS Y CAMISAS"/>
    <n v="19080"/>
    <d v="2026-04-17T00:00:00"/>
    <n v="9540"/>
    <m/>
    <n v="9540"/>
    <x v="0"/>
    <m/>
    <x v="0"/>
    <m/>
    <x v="0"/>
    <m/>
    <m/>
    <m/>
    <m/>
    <m/>
    <m/>
    <m/>
    <n v="0"/>
    <n v="19080"/>
    <s v="CERRADA"/>
  </r>
  <r>
    <d v="2026-03-26T00:00:00"/>
    <s v="200.15"/>
    <s v="ODC-091 POR APROBACION SR. LUIS 26/03"/>
    <x v="39"/>
    <s v="ODC"/>
    <s v="ODC"/>
    <n v="0"/>
    <x v="82"/>
    <x v="0"/>
    <s v="PRECINTOS "/>
    <n v="779937.6899999999"/>
    <m/>
    <m/>
    <d v="2026-04-17T00:00:00"/>
    <n v="779937.6899999999"/>
    <x v="0"/>
    <m/>
    <x v="0"/>
    <m/>
    <x v="0"/>
    <m/>
    <m/>
    <m/>
    <m/>
    <m/>
    <m/>
    <m/>
    <n v="0"/>
    <n v="779937.6899999999"/>
    <s v="CERRADA"/>
  </r>
  <r>
    <d v="2026-03-30T00:00:00"/>
    <s v="400.02.13"/>
    <s v="CONTRA ENTREGA"/>
    <x v="33"/>
    <s v="ODC"/>
    <s v="ODC"/>
    <n v="0"/>
    <x v="83"/>
    <x v="0"/>
    <s v="SUMINISTRO DE BOTAS DE SEGURIDAD"/>
    <n v="8200"/>
    <d v="2026-05-25T00:00:00"/>
    <n v="8200"/>
    <m/>
    <m/>
    <x v="0"/>
    <m/>
    <x v="0"/>
    <m/>
    <x v="0"/>
    <m/>
    <m/>
    <m/>
    <m/>
    <m/>
    <m/>
    <m/>
    <n v="0"/>
    <n v="8200"/>
    <s v="CERRADA"/>
  </r>
  <r>
    <d v="2026-04-01T00:00:00"/>
    <s v="3000.02"/>
    <s v="RODANOL RASCADI"/>
    <x v="24"/>
    <s v="ODC"/>
    <s v="ODC"/>
    <n v="0"/>
    <x v="84"/>
    <x v="0"/>
    <s v="100 % A LA ENTREGA RECOBRO PDVSA"/>
    <n v="2425"/>
    <d v="2026-04-17T00:00:00"/>
    <n v="2425"/>
    <m/>
    <m/>
    <x v="0"/>
    <m/>
    <x v="0"/>
    <m/>
    <x v="0"/>
    <m/>
    <m/>
    <m/>
    <m/>
    <m/>
    <m/>
    <m/>
    <n v="0"/>
    <n v="2425"/>
    <s v="CERRADA"/>
  </r>
  <r>
    <m/>
    <m/>
    <s v="EQUIPAMIENTO CENTRO DE OPERACIONES GUAFITA"/>
    <x v="40"/>
    <s v="ODC"/>
    <s v="ODC"/>
    <n v="0"/>
    <x v="85"/>
    <x v="0"/>
    <s v="50% CON ODC - 50% CON OPERATIVIDAD"/>
    <n v="68551.5"/>
    <d v="2026-05-25T00:00:00"/>
    <n v="68551.5"/>
    <m/>
    <m/>
    <x v="0"/>
    <m/>
    <x v="0"/>
    <m/>
    <x v="0"/>
    <m/>
    <m/>
    <m/>
    <m/>
    <m/>
    <m/>
    <m/>
    <n v="0"/>
    <n v="68551.5"/>
    <s v="CERRADA"/>
  </r>
  <r>
    <d v="2026-04-17T00:00:00"/>
    <s v="2000.08.02"/>
    <s v="ADQUISICION DE MATERIALES POZO GUAFITA 2025 "/>
    <x v="1"/>
    <s v="ODC"/>
    <s v="ODC"/>
    <n v="0"/>
    <x v="86"/>
    <x v="0"/>
    <s v="50% CON ODC  50% A45 DIAS"/>
    <n v="62341.44"/>
    <d v="2026-05-05T00:00:00"/>
    <n v="31170.72"/>
    <m/>
    <m/>
    <x v="0"/>
    <m/>
    <x v="0"/>
    <m/>
    <x v="0"/>
    <m/>
    <m/>
    <m/>
    <m/>
    <m/>
    <m/>
    <m/>
    <n v="31170.72"/>
    <n v="31170.72"/>
    <s v=""/>
  </r>
  <r>
    <m/>
    <m/>
    <s v="SUMINISTRO DE INYECTORES PARA GENERADORES"/>
    <x v="20"/>
    <s v="ODC"/>
    <s v="ODC"/>
    <n v="0"/>
    <x v="87"/>
    <x v="0"/>
    <s v="100% CON ODC"/>
    <n v="90068.96000000001"/>
    <d v="2026-10-07T00:00:00"/>
    <n v="250000"/>
    <m/>
    <m/>
    <x v="0"/>
    <m/>
    <x v="0"/>
    <m/>
    <x v="0"/>
    <m/>
    <m/>
    <m/>
    <m/>
    <m/>
    <m/>
    <m/>
    <n v="-159931.04"/>
    <n v="250000"/>
    <s v=""/>
  </r>
  <r>
    <d v="2026-01-30T00:00:00"/>
    <s v="2000.05.04 /  2000.12.05"/>
    <s v="RODAMIENTOS DE ESTOPERAS"/>
    <x v="41"/>
    <s v="ODC"/>
    <s v="ODC"/>
    <n v="0"/>
    <x v="88"/>
    <x v="0"/>
    <s v="100 % CON ODC"/>
    <n v="3731.31"/>
    <d v="2026-04-17T00:00:00"/>
    <n v="3731.31"/>
    <m/>
    <m/>
    <x v="0"/>
    <m/>
    <x v="0"/>
    <m/>
    <x v="0"/>
    <m/>
    <m/>
    <m/>
    <m/>
    <m/>
    <m/>
    <m/>
    <n v="0"/>
    <n v="3731.31"/>
    <s v="CERRADA"/>
  </r>
  <r>
    <d v="2026-04-16T00:00:00"/>
    <m/>
    <s v="ADQUISICION DE GOMAS DE CABEZAL CLV-001"/>
    <x v="14"/>
    <s v="ODC"/>
    <s v="ODC"/>
    <n v="0"/>
    <x v="89"/>
    <x v="0"/>
    <s v="ODC-098 POR APROB. DEL SR. DIEGO 16/04 100% PAGO CON ODC"/>
    <n v="1020"/>
    <d v="2026-05-22T00:00:00"/>
    <n v="1020"/>
    <m/>
    <m/>
    <x v="0"/>
    <m/>
    <x v="0"/>
    <m/>
    <x v="0"/>
    <m/>
    <m/>
    <m/>
    <m/>
    <m/>
    <m/>
    <m/>
    <n v="0"/>
    <n v="1020"/>
    <s v="CERRADA"/>
  </r>
  <r>
    <d v="2026-04-20T00:00:00"/>
    <m/>
    <s v="SUMINISTRO DE TRANSFORMADORES SDT Y SUT NEW TECH"/>
    <x v="8"/>
    <s v="ODC"/>
    <s v="ODC"/>
    <n v="0"/>
    <x v="90"/>
    <x v="0"/>
    <s v="40% CON ODC ,40% ENTREGA EN CAMPO,20% A 60 DIAS"/>
    <n v="335000"/>
    <d v="2026-04-27T00:00:00"/>
    <n v="120000"/>
    <m/>
    <n v="215000"/>
    <x v="0"/>
    <m/>
    <x v="0"/>
    <m/>
    <x v="0"/>
    <m/>
    <m/>
    <m/>
    <m/>
    <m/>
    <m/>
    <m/>
    <n v="0"/>
    <n v="335000"/>
    <s v="CERRADA"/>
  </r>
  <r>
    <d v="2026-04-21T00:00:00"/>
    <m/>
    <s v="ADQUISICION DE REPUESTOS PARA BALANCINES Y LUBRICANTES"/>
    <x v="42"/>
    <s v="ODC"/>
    <s v="ODC"/>
    <n v="0"/>
    <x v="91"/>
    <x v="0"/>
    <s v="40% CON LA ODC 60% A 30 DIAS"/>
    <n v="29294"/>
    <d v="2026-04-30T00:00:00"/>
    <n v="11717.6"/>
    <d v="2026-06-04T00:00:00"/>
    <n v="17576.4"/>
    <x v="0"/>
    <m/>
    <x v="0"/>
    <m/>
    <x v="0"/>
    <m/>
    <m/>
    <m/>
    <m/>
    <m/>
    <m/>
    <m/>
    <n v="0"/>
    <n v="29294"/>
    <s v="CERRADA"/>
  </r>
  <r>
    <d v="2026-04-21T00:00:00"/>
    <m/>
    <s v="ADQUISICION DE TUBING 3 1/2 -N80"/>
    <x v="43"/>
    <s v="ODC"/>
    <s v="ODC"/>
    <n v="0"/>
    <x v="92"/>
    <x v="1"/>
    <m/>
    <n v="507000"/>
    <m/>
    <m/>
    <m/>
    <m/>
    <x v="0"/>
    <m/>
    <x v="0"/>
    <m/>
    <x v="0"/>
    <m/>
    <m/>
    <m/>
    <m/>
    <m/>
    <m/>
    <m/>
    <n v="507000"/>
    <n v="0"/>
    <s v=""/>
  </r>
  <r>
    <d v="2026-04-21T00:00:00"/>
    <s v="2000.08.03/2000.01.03"/>
    <s v="ADQUISICION DE TUBING 3 1/2 -N81"/>
    <x v="44"/>
    <s v="ODC"/>
    <s v="ODC"/>
    <n v="0"/>
    <x v="93"/>
    <x v="1"/>
    <s v="30 % CON ODC 70% CONTRA ENTREGA. 20M P ENTREGA INMEDIATA 80 M P FINALES DE MAYO"/>
    <n v="1785000"/>
    <d v="2026-05-01T00:00:00"/>
    <n v="535500"/>
    <d v="2026-08-11T00:00:00"/>
    <n v="282188"/>
    <x v="0"/>
    <m/>
    <x v="0"/>
    <m/>
    <x v="0"/>
    <m/>
    <m/>
    <m/>
    <m/>
    <m/>
    <m/>
    <m/>
    <n v="967312"/>
    <n v="817688"/>
    <s v=""/>
  </r>
  <r>
    <d v="2026-04-21T00:00:00"/>
    <m/>
    <s v="ADQUISICION DE BES PARA POZOS SIN-30A Y LVT-47"/>
    <x v="8"/>
    <s v="ODC"/>
    <s v="ODC"/>
    <n v="0"/>
    <x v="94"/>
    <x v="0"/>
    <s v="70% CONTRA ENTREGA - 30% A 60 DIASS"/>
    <n v="447337.49"/>
    <d v="2026-04-29T00:00:00"/>
    <n v="313136.24"/>
    <m/>
    <m/>
    <x v="0"/>
    <m/>
    <x v="0"/>
    <m/>
    <x v="0"/>
    <m/>
    <m/>
    <m/>
    <m/>
    <m/>
    <m/>
    <m/>
    <n v="134201.25"/>
    <n v="313136.24"/>
    <s v=""/>
  </r>
  <r>
    <d v="2026-04-23T00:00:00"/>
    <m/>
    <s v="ADQUISICION DE CABLE NT POWER CABLE FLAT 450F 5KV #2"/>
    <x v="8"/>
    <s v="ODC"/>
    <s v="ODC"/>
    <n v="0"/>
    <x v="95"/>
    <x v="0"/>
    <s v="50%ODC 50% ENTREGA INMEDIATA"/>
    <n v="483000"/>
    <d v="2026-05-01T00:00:00"/>
    <n v="241500"/>
    <d v="2026-05-25T00:00:00"/>
    <n v="241500"/>
    <x v="0"/>
    <m/>
    <x v="0"/>
    <m/>
    <x v="0"/>
    <m/>
    <m/>
    <m/>
    <m/>
    <m/>
    <m/>
    <m/>
    <n v="0"/>
    <n v="483000"/>
    <s v="CERRADA"/>
  </r>
  <r>
    <m/>
    <m/>
    <s v="FABRICACIÓN DE POLEAS 3 CANALES, BUJE CON SISTEMA TAPER LOCK Y CUÑA"/>
    <x v="26"/>
    <s v="ODC"/>
    <s v="ODC"/>
    <n v="0"/>
    <x v="96"/>
    <x v="0"/>
    <s v="100% CONTRA ENTREGA"/>
    <n v="3640"/>
    <d v="2026-05-05T00:00:00"/>
    <n v="3640"/>
    <m/>
    <m/>
    <x v="0"/>
    <m/>
    <x v="0"/>
    <m/>
    <x v="0"/>
    <m/>
    <m/>
    <m/>
    <m/>
    <m/>
    <m/>
    <m/>
    <n v="0"/>
    <n v="3640"/>
    <s v="CERRADA"/>
  </r>
  <r>
    <m/>
    <m/>
    <s v="REPUESTOS PARA VARIADORES TRIOL"/>
    <x v="17"/>
    <s v="ODC"/>
    <s v="ODC"/>
    <n v="0"/>
    <x v="97"/>
    <x v="0"/>
    <m/>
    <n v="11033.22"/>
    <d v="2026-05-25T00:00:00"/>
    <n v="11033.22"/>
    <m/>
    <m/>
    <x v="0"/>
    <m/>
    <x v="0"/>
    <m/>
    <x v="0"/>
    <m/>
    <m/>
    <m/>
    <m/>
    <m/>
    <m/>
    <m/>
    <n v="0"/>
    <n v="11033.22"/>
    <s v="CERRADA"/>
  </r>
  <r>
    <d v="2026-05-04T00:00:00"/>
    <s v="2000.08.02"/>
    <s v="ADQUISICION DE SISTEMA BES PARA LOS POZOS GF-073 Y GF-040"/>
    <x v="1"/>
    <s v="ODC"/>
    <s v="ODC"/>
    <n v="0"/>
    <x v="98"/>
    <x v="0"/>
    <s v="30% CON ORDEN 60% A 6O DIAS"/>
    <n v="326804.87"/>
    <d v="2026-05-08T00:00:00"/>
    <n v="98041.46000000001"/>
    <m/>
    <m/>
    <x v="0"/>
    <m/>
    <x v="0"/>
    <m/>
    <x v="0"/>
    <m/>
    <m/>
    <m/>
    <m/>
    <m/>
    <m/>
    <m/>
    <n v="228763.41"/>
    <n v="98041.46000000001"/>
    <s v=""/>
  </r>
  <r>
    <d v="2026-05-04T00:00:00"/>
    <m/>
    <s v="ADQUISICION DE VARIADORES 480KVA NEW TECH III"/>
    <x v="8"/>
    <s v="ODC"/>
    <s v="ODC"/>
    <n v="0"/>
    <x v="99"/>
    <x v="0"/>
    <s v="ENTREGA 100% REALIZADA EN CAMPO DE FECHA 07/05."/>
    <n v="180000"/>
    <d v="2026-05-08T00:00:00"/>
    <n v="180000"/>
    <m/>
    <m/>
    <x v="0"/>
    <m/>
    <x v="0"/>
    <m/>
    <x v="0"/>
    <m/>
    <m/>
    <m/>
    <m/>
    <m/>
    <m/>
    <m/>
    <n v="0"/>
    <n v="180000"/>
    <s v="CERRADA"/>
  </r>
  <r>
    <d v="2026-05-08T00:00:00"/>
    <m/>
    <s v="SUMINISTRO DE KCL Y GOMA XANTICA MES MAYO 2026"/>
    <x v="30"/>
    <s v="ODC"/>
    <s v="ODC"/>
    <n v="0"/>
    <x v="100"/>
    <x v="0"/>
    <s v="60% Y 40%"/>
    <n v="105820"/>
    <d v="2026-05-25T00:00:00"/>
    <n v="63492"/>
    <d v="2026-06-04T00:00:00"/>
    <n v="42328"/>
    <x v="0"/>
    <m/>
    <x v="0"/>
    <m/>
    <x v="0"/>
    <m/>
    <m/>
    <m/>
    <m/>
    <m/>
    <m/>
    <m/>
    <n v="0"/>
    <n v="105820"/>
    <s v="CERRADA"/>
  </r>
  <r>
    <d v="2026-05-11T00:00:00"/>
    <m/>
    <s v="SERVICIO DE REVISIÓN Y REPARACION DE SISTEMAS 9 Y 10"/>
    <x v="12"/>
    <s v="ODC"/>
    <s v="ODC"/>
    <n v="0"/>
    <x v="101"/>
    <x v="1"/>
    <m/>
    <n v="70589"/>
    <d v="2026-05-26T00:00:00"/>
    <n v="44489.5"/>
    <d v="2026-06-18T00:00:00"/>
    <n v="20879.6"/>
    <x v="0"/>
    <m/>
    <x v="0"/>
    <m/>
    <x v="0"/>
    <m/>
    <m/>
    <m/>
    <m/>
    <m/>
    <m/>
    <m/>
    <n v="5219.900000000001"/>
    <n v="65369.1"/>
    <s v=""/>
  </r>
  <r>
    <d v="2026-05-12T00:00:00"/>
    <m/>
    <s v="ADQUISICION DE VARIADORES 480KVA NEW TECH Iv"/>
    <x v="8"/>
    <s v="ODC"/>
    <s v="ODC"/>
    <n v="0"/>
    <x v="102"/>
    <x v="0"/>
    <s v="50% CON ODC 50 % ENTREGA 2 DIAS"/>
    <n v="180000"/>
    <d v="2026-05-25T00:00:00"/>
    <n v="180000"/>
    <m/>
    <m/>
    <x v="0"/>
    <m/>
    <x v="0"/>
    <m/>
    <x v="0"/>
    <m/>
    <m/>
    <m/>
    <m/>
    <m/>
    <m/>
    <m/>
    <n v="0"/>
    <n v="180000"/>
    <s v="CERRADA"/>
  </r>
  <r>
    <d v="2026-05-13T00:00:00"/>
    <s v="2000.11.02"/>
    <s v="SUMINISTRO DE MATERIALES, CONSUMIBLES Y ACCESORIOS PARA CONEXIONADO ELECTRICO"/>
    <x v="42"/>
    <s v="ODC"/>
    <s v="ODC"/>
    <n v="0"/>
    <x v="103"/>
    <x v="0"/>
    <s v="40% CON ODC - 60% A 30 DIAS DESPUES DE LA ENTREGA"/>
    <n v="41200.06"/>
    <d v="2026-05-25T00:00:00"/>
    <n v="16480.02"/>
    <d v="2026-07-17T00:00:00"/>
    <n v="16480"/>
    <x v="11"/>
    <n v="8240.040000000001"/>
    <x v="0"/>
    <m/>
    <x v="0"/>
    <m/>
    <m/>
    <m/>
    <m/>
    <m/>
    <m/>
    <m/>
    <n v="0"/>
    <n v="41200.06"/>
    <s v="CERRADA"/>
  </r>
  <r>
    <d v="2025-12-29T00:00:00"/>
    <s v="2000.05.01"/>
    <s v="SERVICIO DE PRUEBA DE POZOS"/>
    <x v="45"/>
    <s v="ODS"/>
    <s v="ODS"/>
    <n v="0"/>
    <x v="104"/>
    <x v="0"/>
    <s v="PROPUESTA TECNICO ECONOMICA "/>
    <n v="19644.6"/>
    <d v="2026-01-11T00:00:00"/>
    <n v="19644.6"/>
    <m/>
    <m/>
    <x v="0"/>
    <m/>
    <x v="0"/>
    <m/>
    <x v="0"/>
    <m/>
    <m/>
    <m/>
    <m/>
    <m/>
    <m/>
    <m/>
    <n v="0"/>
    <n v="19644.6"/>
    <s v="CERRADA"/>
  </r>
  <r>
    <d v="2026-02-02T00:00:00"/>
    <s v="2000.13.02"/>
    <s v="Alquiler Equipos Moviles AP"/>
    <x v="11"/>
    <s v="ODS"/>
    <s v="ODS"/>
    <n v="0"/>
    <x v="105"/>
    <x v="0"/>
    <s v="SERVICIO DE ALQUILER DE VACUUM EN APURE"/>
    <n v="35572.2"/>
    <d v="2026-02-02T00:00:00"/>
    <n v="35572.2"/>
    <m/>
    <m/>
    <x v="0"/>
    <m/>
    <x v="0"/>
    <m/>
    <x v="0"/>
    <m/>
    <m/>
    <m/>
    <m/>
    <m/>
    <m/>
    <m/>
    <n v="0"/>
    <n v="35572.2"/>
    <s v="CERRADA"/>
  </r>
  <r>
    <d v="2026-02-02T00:00:00"/>
    <s v="2000.13.02"/>
    <s v="ALQUILER DE HERRAMIENTAS "/>
    <x v="16"/>
    <s v="ODS"/>
    <s v="ODS"/>
    <n v="0"/>
    <x v="106"/>
    <x v="0"/>
    <s v="ALQUILER DE HERRAMIENTAS "/>
    <n v="10050"/>
    <d v="2026-02-02T00:00:00"/>
    <n v="10050"/>
    <m/>
    <m/>
    <x v="0"/>
    <m/>
    <x v="0"/>
    <m/>
    <x v="0"/>
    <m/>
    <m/>
    <m/>
    <m/>
    <m/>
    <m/>
    <m/>
    <n v="0"/>
    <n v="10050"/>
    <s v="CERRADA"/>
  </r>
  <r>
    <d v="2026-02-02T00:00:00"/>
    <s v="2000.13.02"/>
    <s v="ALQ.4 HERRAMIENTAS PARA CSG 8"/>
    <x v="16"/>
    <s v="ODS"/>
    <s v="ODS"/>
    <n v="0"/>
    <x v="107"/>
    <x v="0"/>
    <s v="SERVICIO DE ALQUILER DE EQUIPOS MOVILES"/>
    <n v="9390"/>
    <d v="2026-02-09T00:00:00"/>
    <n v="9390"/>
    <m/>
    <m/>
    <x v="0"/>
    <m/>
    <x v="0"/>
    <m/>
    <x v="0"/>
    <m/>
    <m/>
    <m/>
    <m/>
    <m/>
    <m/>
    <m/>
    <n v="0"/>
    <n v="9390"/>
    <s v="CERRADA"/>
  </r>
  <r>
    <d v="2026-02-03T00:00:00"/>
    <s v="2000.06.07"/>
    <s v="SERVICIO DE REPARACION DE TRANSFORMADORES "/>
    <x v="46"/>
    <s v="ODS"/>
    <s v="ODS"/>
    <n v="0"/>
    <x v="108"/>
    <x v="1"/>
    <s v="CANCELADA MAL CUMPLIMIENTO"/>
    <n v="2100"/>
    <d v="2026-02-05T00:00:00"/>
    <n v="0"/>
    <s v="17.02.2026"/>
    <n v="1890"/>
    <x v="0"/>
    <n v="210"/>
    <x v="0"/>
    <m/>
    <x v="0"/>
    <m/>
    <m/>
    <m/>
    <m/>
    <m/>
    <m/>
    <m/>
    <n v="0"/>
    <n v="2100"/>
    <s v="CERRADA"/>
  </r>
  <r>
    <d v="2026-02-02T00:00:00"/>
    <s v="400.02.11"/>
    <s v="ATENCION MEDICA"/>
    <x v="47"/>
    <s v="ODS"/>
    <s v="ODS"/>
    <n v="0"/>
    <x v="109"/>
    <x v="1"/>
    <s v="CONDICIONES DE PAGO CONTRA FACT.1 AL 3 ANTICIPO DE 50% ITEM 4"/>
    <n v="5737"/>
    <d v="2026-03-03T00:00:00"/>
    <n v="312.5"/>
    <d v="2026-05-05T00:00:00"/>
    <n v="1863.5"/>
    <x v="0"/>
    <m/>
    <x v="0"/>
    <m/>
    <x v="0"/>
    <m/>
    <m/>
    <m/>
    <m/>
    <m/>
    <m/>
    <m/>
    <n v="3561"/>
    <n v="2176"/>
    <s v=""/>
  </r>
  <r>
    <d v="2026-02-03T00:00:00"/>
    <s v="2000.13.05"/>
    <s v="SUM. CUADRILLA"/>
    <x v="48"/>
    <s v="ODS"/>
    <s v="ODS"/>
    <n v="0"/>
    <x v="110"/>
    <x v="0"/>
    <s v="SUM. CUADRILLA"/>
    <n v="8112.6"/>
    <d v="2026-03-13T00:00:00"/>
    <n v="8112.6"/>
    <m/>
    <m/>
    <x v="0"/>
    <m/>
    <x v="0"/>
    <m/>
    <x v="0"/>
    <m/>
    <m/>
    <m/>
    <m/>
    <m/>
    <m/>
    <m/>
    <n v="0"/>
    <n v="8112.6"/>
    <s v="CERRADA"/>
  </r>
  <r>
    <d v="2026-02-04T00:00:00"/>
    <s v="2000.06.07"/>
    <s v="REP. TXs DE POTENCIA EN KVA"/>
    <x v="49"/>
    <s v="ODS"/>
    <s v="ODS"/>
    <n v="0"/>
    <x v="111"/>
    <x v="0"/>
    <s v="REP. TXs DE POTENCIA EN KVA"/>
    <n v="45900"/>
    <d v="2026-02-09T00:00:00"/>
    <n v="22950"/>
    <d v="2026-04-22T00:00:00"/>
    <n v="22950"/>
    <x v="0"/>
    <m/>
    <x v="0"/>
    <m/>
    <x v="0"/>
    <m/>
    <m/>
    <m/>
    <m/>
    <m/>
    <m/>
    <m/>
    <n v="0"/>
    <n v="45900"/>
    <s v="CERRADA"/>
  </r>
  <r>
    <d v="2026-02-11T00:00:00"/>
    <s v="2000.15.02"/>
    <s v="RELACIONES NOV, DIC, ENERO"/>
    <x v="2"/>
    <s v="ODS"/>
    <s v="ODS"/>
    <n v="0"/>
    <x v="112"/>
    <x v="0"/>
    <s v="MANTENIMIENTO AREA OPERACIONAL"/>
    <n v="47210.07"/>
    <d v="2026-02-20T00:00:00"/>
    <n v="23605.04"/>
    <d v="2026-03-30T00:00:00"/>
    <n v="23605.03"/>
    <x v="0"/>
    <m/>
    <x v="0"/>
    <m/>
    <x v="0"/>
    <m/>
    <m/>
    <m/>
    <m/>
    <m/>
    <m/>
    <m/>
    <n v="0"/>
    <n v="47210.07"/>
    <s v="CERRADA"/>
  </r>
  <r>
    <d v="2026-02-11T00:00:00"/>
    <s v="600.01.12"/>
    <s v="TRASLADOS VARIOS"/>
    <x v="50"/>
    <s v="ODS"/>
    <s v="ODS"/>
    <n v="0"/>
    <x v="113"/>
    <x v="0"/>
    <s v="TRASLADOS VARIOS"/>
    <n v="2582"/>
    <d v="2026-02-18T00:00:00"/>
    <n v="2582"/>
    <m/>
    <m/>
    <x v="0"/>
    <m/>
    <x v="0"/>
    <m/>
    <x v="0"/>
    <m/>
    <m/>
    <m/>
    <m/>
    <m/>
    <m/>
    <m/>
    <n v="0"/>
    <n v="2582"/>
    <s v="CERRADA"/>
  </r>
  <r>
    <d v="2026-02-12T00:00:00"/>
    <m/>
    <s v="SERVICIO DE CALIBRACION DE ALMACENAMIENTO DE CRUDO TK-40-1 DE 40 MBLS"/>
    <x v="51"/>
    <s v="ODS"/>
    <s v="ODS"/>
    <n v="0"/>
    <x v="114"/>
    <x v="0"/>
    <s v=" ESP. APROB DE PAGO 75% A BCV NF. FIN DEL PROCESO A LA OTRA EMP."/>
    <n v="7000"/>
    <m/>
    <n v="5250"/>
    <d v="2026-05-19T00:00:00"/>
    <n v="1750"/>
    <x v="0"/>
    <m/>
    <x v="0"/>
    <m/>
    <x v="0"/>
    <m/>
    <m/>
    <m/>
    <m/>
    <m/>
    <m/>
    <m/>
    <n v="0"/>
    <n v="7000"/>
    <s v="CERRADA"/>
  </r>
  <r>
    <d v="2026-02-12T00:00:00"/>
    <s v="2000.02.05"/>
    <s v="SERVICIO INTEGRAL DE INSTALACION Y EXTRACCIÓN DE EQUIPO BES, BARINAS"/>
    <x v="11"/>
    <s v="ODS"/>
    <s v="ODS"/>
    <n v="0"/>
    <x v="115"/>
    <x v="1"/>
    <s v="ANTICIPO 50% , 50% AL CUMPLIRSE LA ENTREGA"/>
    <n v="134212.8"/>
    <d v="2026-03-07T00:00:00"/>
    <n v="67106.39999999999"/>
    <m/>
    <m/>
    <x v="0"/>
    <m/>
    <x v="0"/>
    <m/>
    <x v="0"/>
    <m/>
    <m/>
    <m/>
    <m/>
    <m/>
    <m/>
    <m/>
    <n v="67106.39999999999"/>
    <n v="67106.39999999999"/>
    <s v=""/>
  </r>
  <r>
    <d v="2026-02-25T00:00:00"/>
    <m/>
    <s v="SERVICIO INTEGRAL DE INSTALACION Y EXTRACCION DE EQUIPOS BES APURE"/>
    <x v="11"/>
    <s v="ODS"/>
    <s v="ODS"/>
    <n v="0"/>
    <x v="116"/>
    <x v="1"/>
    <s v="ANTICIPO 50% , 50% AL CUMPLIRSE LA ENTREGA"/>
    <n v="134212.8"/>
    <d v="2026-03-11T00:00:00"/>
    <n v="67106.39999999999"/>
    <d v="2026-05-02T00:00:00"/>
    <n v="67106.39999999999"/>
    <x v="0"/>
    <m/>
    <x v="0"/>
    <m/>
    <x v="0"/>
    <m/>
    <m/>
    <m/>
    <m/>
    <m/>
    <m/>
    <m/>
    <n v="0"/>
    <n v="134212.8"/>
    <s v="CERRADA"/>
  </r>
  <r>
    <d v="2026-02-17T00:00:00"/>
    <s v="2000.15.01"/>
    <s v="REPARACION DE TRANSFORMADORES DE POTENCIA II"/>
    <x v="49"/>
    <s v="ODS"/>
    <s v="ODS"/>
    <n v="0"/>
    <x v="117"/>
    <x v="0"/>
    <s v="50% CON ODS Y 50% A LA ENTREGA"/>
    <n v="58300"/>
    <d v="2026-03-03T00:00:00"/>
    <n v="29150"/>
    <d v="2026-07-16T00:00:00"/>
    <n v="29150"/>
    <x v="0"/>
    <m/>
    <x v="0"/>
    <m/>
    <x v="0"/>
    <m/>
    <m/>
    <m/>
    <m/>
    <m/>
    <m/>
    <m/>
    <n v="0"/>
    <n v="58300"/>
    <s v="CERRADA"/>
  </r>
  <r>
    <d v="2026-02-25T00:00:00"/>
    <m/>
    <s v="TRANSPORTE DE TRANSFORMADORES DE POTENCIA"/>
    <x v="27"/>
    <s v="ODS"/>
    <s v="ODS"/>
    <n v="0"/>
    <x v="118"/>
    <x v="0"/>
    <s v="ODS-015 FIRMADA. ESP. RECIBO 100%."/>
    <n v="1350"/>
    <d v="2026-03-02T00:00:00"/>
    <n v="1350"/>
    <m/>
    <m/>
    <x v="0"/>
    <m/>
    <x v="0"/>
    <m/>
    <x v="0"/>
    <m/>
    <m/>
    <m/>
    <m/>
    <m/>
    <m/>
    <m/>
    <n v="0"/>
    <n v="1350"/>
    <s v="CERRADA"/>
  </r>
  <r>
    <d v="2026-02-27T00:00:00"/>
    <m/>
    <s v="GASTOS OPERATIVOS PARA PRUEBAS DE CAMPO -- PROCESO QUIMICOS Y ASIST. TECNICA LIPESA"/>
    <x v="18"/>
    <s v="ODS"/>
    <s v="ODS"/>
    <n v="0"/>
    <x v="119"/>
    <x v="0"/>
    <s v="ODS-016 FIRMADA. ESP. RECIBO"/>
    <n v="20000"/>
    <d v="2026-03-02T00:00:00"/>
    <n v="20000"/>
    <m/>
    <m/>
    <x v="0"/>
    <m/>
    <x v="0"/>
    <m/>
    <x v="0"/>
    <m/>
    <m/>
    <m/>
    <m/>
    <m/>
    <m/>
    <m/>
    <n v="0"/>
    <n v="20000"/>
    <s v="CERRADA"/>
  </r>
  <r>
    <d v="2026-02-27T00:00:00"/>
    <m/>
    <s v="GASTOS OPERATIVOS PARA PRUEBAS DE CAMPO -- PROCESO QUIMICOS Y ASIST. TECNICA KENBRAN"/>
    <x v="52"/>
    <s v="ODS"/>
    <s v="ODS"/>
    <n v="0"/>
    <x v="120"/>
    <x v="0"/>
    <s v="ODS-017 ESP. FIRMA DE KENBRAN"/>
    <n v="20000"/>
    <d v="2026-03-19T00:00:00"/>
    <n v="20000"/>
    <m/>
    <m/>
    <x v="0"/>
    <m/>
    <x v="0"/>
    <m/>
    <x v="0"/>
    <m/>
    <m/>
    <m/>
    <m/>
    <m/>
    <m/>
    <m/>
    <n v="0"/>
    <n v="20000"/>
    <s v="CERRADA"/>
  </r>
  <r>
    <d v="2026-02-27T00:00:00"/>
    <s v="2000.13.10"/>
    <s v="GASTOS OPERATIVOS PARA PRUEBAS DE CAMPO -- PROCESO QUIMICOS Y ASIST. TECNICA ZOMALCA"/>
    <x v="10"/>
    <s v="ODS"/>
    <s v="ODS"/>
    <n v="0"/>
    <x v="121"/>
    <x v="0"/>
    <s v="ODS-018 POR APROB. SR. DIEGO"/>
    <n v="20000"/>
    <d v="2026-03-11T00:00:00"/>
    <n v="20000"/>
    <m/>
    <m/>
    <x v="0"/>
    <m/>
    <x v="0"/>
    <m/>
    <x v="0"/>
    <m/>
    <m/>
    <m/>
    <m/>
    <m/>
    <m/>
    <m/>
    <n v="0"/>
    <n v="20000"/>
    <s v="CERRADA"/>
  </r>
  <r>
    <d v="2026-02-03T00:00:00"/>
    <s v="2000.13.02"/>
    <s v="SERVICIO DE ALQUILER DE EQUIPOS MOVILES"/>
    <x v="16"/>
    <s v="ODS"/>
    <s v="ODS"/>
    <n v="0"/>
    <x v="122"/>
    <x v="0"/>
    <s v="PAGO 100% ODS-019"/>
    <n v="21174"/>
    <d v="2026-03-11T00:00:00"/>
    <n v="21174"/>
    <m/>
    <m/>
    <x v="0"/>
    <m/>
    <x v="0"/>
    <m/>
    <x v="0"/>
    <m/>
    <m/>
    <m/>
    <m/>
    <m/>
    <m/>
    <m/>
    <n v="0"/>
    <n v="21174"/>
    <s v="CERRADA"/>
  </r>
  <r>
    <d v="2026-03-05T00:00:00"/>
    <s v="500.01.12"/>
    <s v="CURSO TEORICO- PRACTICO PARA CERTIFICACIÓN DE OFICIO EN  MANEJO DEFENSIVO"/>
    <x v="53"/>
    <s v="ODS"/>
    <s v="ODS"/>
    <n v="0"/>
    <x v="123"/>
    <x v="0"/>
    <s v="CURSO MANEJO DEFENSIVO"/>
    <n v="2714.4"/>
    <s v="13.03.2026"/>
    <n v="2714.4"/>
    <m/>
    <m/>
    <x v="0"/>
    <m/>
    <x v="0"/>
    <m/>
    <x v="0"/>
    <m/>
    <m/>
    <m/>
    <m/>
    <m/>
    <m/>
    <m/>
    <n v="0"/>
    <n v="2714.4"/>
    <s v="CERRADA"/>
  </r>
  <r>
    <d v="2026-03-05T00:00:00"/>
    <s v="2000,15,01"/>
    <s v="SUMINISTRO DE CUADRILLAS MANTENIMIENTO OPERACIONAL PARA LOS CAMPOS GUAFITA Y LA VICTORIA EN LA DIVISION APURE"/>
    <x v="48"/>
    <s v="ODS"/>
    <s v="ODS"/>
    <n v="0"/>
    <x v="124"/>
    <x v="0"/>
    <s v="PAGOS CONTRA VALUACIONES"/>
    <n v="53850.16"/>
    <d v="2026-05-28T00:00:00"/>
    <n v="5391.38"/>
    <d v="2026-06-16T00:00:00"/>
    <n v="6004.61"/>
    <x v="11"/>
    <n v="5695.69"/>
    <x v="7"/>
    <n v="7249.06"/>
    <x v="4"/>
    <n v="7245.4"/>
    <m/>
    <m/>
    <m/>
    <m/>
    <m/>
    <m/>
    <n v="22264.02"/>
    <n v="31586.14"/>
    <s v=""/>
  </r>
  <r>
    <d v="2026-03-07T00:00:00"/>
    <s v="2000.02.02"/>
    <s v="TRANSPORTE2 DE TRANSFORMADORES DE POTENCIA"/>
    <x v="27"/>
    <s v="ODS"/>
    <s v="ODS"/>
    <n v="0"/>
    <x v="125"/>
    <x v="0"/>
    <s v="ODS-022 "/>
    <n v="1350"/>
    <d v="2026-03-25T00:00:00"/>
    <n v="1350"/>
    <m/>
    <m/>
    <x v="0"/>
    <m/>
    <x v="0"/>
    <m/>
    <x v="0"/>
    <m/>
    <m/>
    <m/>
    <m/>
    <m/>
    <m/>
    <m/>
    <n v="0"/>
    <n v="1350"/>
    <s v="CERRADA"/>
  </r>
  <r>
    <d v="2026-03-13T00:00:00"/>
    <m/>
    <s v="SUMINISTRO DE CUADRILLA POR VALUACION"/>
    <x v="54"/>
    <s v="ODS"/>
    <s v="ODS"/>
    <n v="0"/>
    <x v="126"/>
    <x v="0"/>
    <s v="INICIO TRABAJO 23-03-2026"/>
    <n v="85455"/>
    <d v="2026-06-04T00:00:00"/>
    <n v="28485"/>
    <d v="2026-07-17T00:00:00"/>
    <n v="8485"/>
    <x v="12"/>
    <n v="20000"/>
    <x v="0"/>
    <m/>
    <x v="0"/>
    <m/>
    <m/>
    <m/>
    <m/>
    <m/>
    <m/>
    <m/>
    <n v="28485"/>
    <n v="56970"/>
    <s v=""/>
  </r>
  <r>
    <d v="2026-03-09T00:00:00"/>
    <s v="2000.13.02"/>
    <s v="SERVICIO DE LIMPIEZA CON JUNK MILL PARA CSG7"/>
    <x v="16"/>
    <s v="ODS"/>
    <s v="ODS"/>
    <n v="0"/>
    <x v="127"/>
    <x v="0"/>
    <n v="1"/>
    <n v="11064"/>
    <d v="2026-03-13T00:00:00"/>
    <n v="11064"/>
    <m/>
    <m/>
    <x v="0"/>
    <m/>
    <x v="0"/>
    <m/>
    <x v="0"/>
    <m/>
    <m/>
    <m/>
    <m/>
    <m/>
    <m/>
    <m/>
    <n v="0"/>
    <n v="11064"/>
    <s v="CERRADA"/>
  </r>
  <r>
    <d v="2026-03-12T00:00:00"/>
    <s v="2000.09.05"/>
    <s v="SERVICIO ESPECIALIZADO DE MONITOREO GF-213"/>
    <x v="14"/>
    <s v="ODS"/>
    <s v="ODS"/>
    <n v="0"/>
    <x v="128"/>
    <x v="0"/>
    <s v="ODS-025 100%"/>
    <n v="3300"/>
    <s v="26.03.2026"/>
    <n v="3300"/>
    <m/>
    <m/>
    <x v="0"/>
    <m/>
    <x v="0"/>
    <m/>
    <x v="0"/>
    <m/>
    <m/>
    <m/>
    <m/>
    <m/>
    <m/>
    <m/>
    <n v="0"/>
    <n v="3300"/>
    <s v="CERRADA"/>
  </r>
  <r>
    <d v="2026-03-14T00:00:00"/>
    <s v="2000.09.05"/>
    <s v="RENTA DE HERRAMIENTAS PARA LIMPIEZA DE POZOS WBCO - TARIFAS POR PAQUETE - PAQUETE PARA CASING 7&quot; - BHA #3"/>
    <x v="30"/>
    <s v="ODS"/>
    <s v="ODS"/>
    <n v="0"/>
    <x v="129"/>
    <x v="1"/>
    <s v="30 % CON ODC 70% CON SERVICIOS EJECUTADOS"/>
    <n v="161651.98"/>
    <d v="2026-03-30T00:00:00"/>
    <n v="48495.59"/>
    <d v="2026-06-15T00:00:00"/>
    <n v="100000"/>
    <x v="0"/>
    <m/>
    <x v="0"/>
    <m/>
    <x v="0"/>
    <m/>
    <m/>
    <m/>
    <m/>
    <m/>
    <m/>
    <m/>
    <n v="13156.39000000001"/>
    <n v="148495.59"/>
    <s v=""/>
  </r>
  <r>
    <d v="2026-03-17T00:00:00"/>
    <s v="2000.02.02"/>
    <s v="TRANSPORTE3 DE TRANSFORMADORES DE POTENCIA"/>
    <x v="27"/>
    <s v="ODS"/>
    <s v="ODS"/>
    <n v="0"/>
    <x v="130"/>
    <x v="0"/>
    <s v="ODS-027 POR FIRMA DEL PROVEEDOR"/>
    <n v="1350"/>
    <d v="2026-03-25T00:00:00"/>
    <n v="1350"/>
    <m/>
    <m/>
    <x v="0"/>
    <m/>
    <x v="0"/>
    <m/>
    <x v="0"/>
    <m/>
    <m/>
    <m/>
    <m/>
    <m/>
    <m/>
    <m/>
    <n v="0"/>
    <n v="1350"/>
    <s v="CERRADA"/>
  </r>
  <r>
    <d v="2026-03-18T00:00:00"/>
    <s v="2000.06.05"/>
    <s v="SUMINISTRO DE SUMINISTRO DE CUADRILLA DE MANTENIMIENTO OPERACIONAL"/>
    <x v="55"/>
    <s v="ODS"/>
    <s v="ODS"/>
    <n v="0"/>
    <x v="131"/>
    <x v="0"/>
    <s v="PAGO POR TRABAJO EJECUTADO"/>
    <n v="6033.3"/>
    <d v="2026-06-04T00:00:00"/>
    <n v="6033.3"/>
    <m/>
    <m/>
    <x v="0"/>
    <m/>
    <x v="0"/>
    <m/>
    <x v="0"/>
    <m/>
    <m/>
    <m/>
    <m/>
    <m/>
    <m/>
    <m/>
    <n v="0"/>
    <n v="6033.3"/>
    <s v="CERRADA"/>
  </r>
  <r>
    <d v="2026-03-18T00:00:00"/>
    <s v="2000.06.02"/>
    <s v="ALQUILER DE MONTACARGAS"/>
    <x v="56"/>
    <s v="ODS"/>
    <s v="ODS"/>
    <n v="0"/>
    <x v="132"/>
    <x v="0"/>
    <s v="INICIO DE TRABAJO 20-03-2026"/>
    <n v="1129.92"/>
    <d v="2026-04-23T00:00:00"/>
    <n v="1129.92"/>
    <m/>
    <m/>
    <x v="0"/>
    <m/>
    <x v="0"/>
    <m/>
    <x v="0"/>
    <m/>
    <m/>
    <m/>
    <m/>
    <m/>
    <m/>
    <m/>
    <n v="0"/>
    <n v="1129.92"/>
    <s v="CERRADA"/>
  </r>
  <r>
    <m/>
    <m/>
    <s v="SERVICIO DE LIMPIEZA LVT-14 Y GF-192"/>
    <x v="16"/>
    <s v="ODS"/>
    <s v="ODS"/>
    <n v="0"/>
    <x v="133"/>
    <x v="0"/>
    <s v="APROBADO"/>
    <n v="22486"/>
    <d v="2026-04-22T00:00:00"/>
    <n v="22486"/>
    <m/>
    <m/>
    <x v="0"/>
    <m/>
    <x v="0"/>
    <m/>
    <x v="0"/>
    <m/>
    <m/>
    <m/>
    <m/>
    <m/>
    <m/>
    <m/>
    <n v="0"/>
    <n v="22486"/>
    <s v="CERRADA"/>
  </r>
  <r>
    <m/>
    <s v="2000.15.01"/>
    <s v="REHABILITACIÓN DEL CENTRO DE OPERACIONES GUAFITA"/>
    <x v="40"/>
    <s v="ODS"/>
    <s v="ODS"/>
    <n v="0"/>
    <x v="134"/>
    <x v="0"/>
    <s v="ENVIO A LA EMPRESA CIMATECH "/>
    <n v="151820.62"/>
    <d v="2026-03-30T00:00:00"/>
    <n v="45546.19"/>
    <d v="2026-05-04T00:00:00"/>
    <n v="106274.43"/>
    <x v="0"/>
    <m/>
    <x v="0"/>
    <m/>
    <x v="0"/>
    <m/>
    <m/>
    <m/>
    <m/>
    <m/>
    <m/>
    <m/>
    <n v="0"/>
    <n v="151820.62"/>
    <s v="CERRADA"/>
  </r>
  <r>
    <m/>
    <s v="2000.15.01"/>
    <s v="REHABILITACIÓN DEL CENTRO DE OPERACIONES LA VICTORIA"/>
    <x v="40"/>
    <s v="ODS"/>
    <s v="ODS"/>
    <n v="0"/>
    <x v="135"/>
    <x v="0"/>
    <m/>
    <n v="83219.71000000001"/>
    <d v="2026-03-30T00:00:00"/>
    <n v="24965.91"/>
    <d v="2026-05-04T00:00:00"/>
    <n v="58253.79700000001"/>
    <x v="0"/>
    <m/>
    <x v="0"/>
    <m/>
    <x v="0"/>
    <m/>
    <m/>
    <m/>
    <m/>
    <m/>
    <m/>
    <m/>
    <n v="0.002999999996973202"/>
    <n v="83219.70700000001"/>
    <s v=""/>
  </r>
  <r>
    <d v="2026-03-21T00:00:00"/>
    <m/>
    <s v="SERVICIO DE ALQUILER DE UNA (01) RETROEXCAVADORA SOBRE RUEDAS"/>
    <x v="54"/>
    <s v="ODS"/>
    <s v="ODS"/>
    <n v="0"/>
    <x v="136"/>
    <x v="0"/>
    <s v="INICIO TRABAJO 23-03-2026"/>
    <n v="9980"/>
    <d v="2026-05-25T00:00:00"/>
    <n v="9980"/>
    <m/>
    <m/>
    <x v="0"/>
    <m/>
    <x v="0"/>
    <m/>
    <x v="0"/>
    <m/>
    <m/>
    <m/>
    <m/>
    <m/>
    <m/>
    <m/>
    <n v="0"/>
    <n v="9980"/>
    <s v="CERRADA"/>
  </r>
  <r>
    <d v="2026-03-25T00:00:00"/>
    <s v="2000.15.02"/>
    <s v="ASESORIA Y CONTROL DE ACTIVIDADES SERVICIO HOT TAPPING"/>
    <x v="57"/>
    <s v="ODS"/>
    <s v="ODS"/>
    <n v="0"/>
    <x v="137"/>
    <x v="1"/>
    <s v="ODS-034 POR FIRMA DEL TECNICO 30/03"/>
    <n v="2000"/>
    <m/>
    <m/>
    <m/>
    <m/>
    <x v="0"/>
    <m/>
    <x v="0"/>
    <m/>
    <x v="0"/>
    <m/>
    <m/>
    <m/>
    <m/>
    <m/>
    <m/>
    <m/>
    <n v="2000"/>
    <n v="0"/>
    <s v=""/>
  </r>
  <r>
    <d v="2026-01-22T00:00:00"/>
    <s v="2000.06.03"/>
    <s v="SERVICIO DE ALQUILER DE VACUUM EN APURE"/>
    <x v="11"/>
    <s v="ODS"/>
    <s v="ODS"/>
    <n v="0"/>
    <x v="138"/>
    <x v="1"/>
    <s v="100% CON ORDEN"/>
    <n v="41263"/>
    <d v="2026-04-21T00:00:00"/>
    <n v="41263"/>
    <m/>
    <m/>
    <x v="0"/>
    <m/>
    <x v="0"/>
    <m/>
    <x v="0"/>
    <m/>
    <m/>
    <m/>
    <m/>
    <m/>
    <m/>
    <m/>
    <n v="0"/>
    <n v="41263"/>
    <s v="CERRADA"/>
  </r>
  <r>
    <m/>
    <m/>
    <s v="EJECUCION DE PRUEBAS EXPERIMENTALES INTEVEP II"/>
    <x v="45"/>
    <s v="ODS"/>
    <s v="ODS"/>
    <n v="0"/>
    <x v="139"/>
    <x v="0"/>
    <m/>
    <n v="28200.76"/>
    <d v="2026-04-08T00:00:00"/>
    <n v="28200.76"/>
    <m/>
    <m/>
    <x v="0"/>
    <m/>
    <x v="0"/>
    <m/>
    <x v="0"/>
    <m/>
    <m/>
    <m/>
    <m/>
    <m/>
    <m/>
    <m/>
    <n v="0"/>
    <n v="28200.76"/>
    <s v="CERRADA"/>
  </r>
  <r>
    <m/>
    <m/>
    <s v="SANEAMIENTO AMBIENTAL SILVESTRE"/>
    <x v="56"/>
    <s v="ODS"/>
    <s v="ODS"/>
    <n v="0"/>
    <x v="140"/>
    <x v="0"/>
    <s v="PAGO TOTAL 100%"/>
    <n v="31464.54"/>
    <d v="2026-04-23T00:00:00"/>
    <n v="31464.54"/>
    <m/>
    <m/>
    <x v="0"/>
    <m/>
    <x v="0"/>
    <m/>
    <x v="0"/>
    <m/>
    <m/>
    <m/>
    <m/>
    <m/>
    <m/>
    <m/>
    <n v="0"/>
    <n v="31464.54"/>
    <s v="CERRADA"/>
  </r>
  <r>
    <m/>
    <m/>
    <s v="SOLDADURA FUGA"/>
    <x v="58"/>
    <s v="ODS"/>
    <s v="ODS"/>
    <n v="0"/>
    <x v="141"/>
    <x v="0"/>
    <s v="PAGO TOTAL"/>
    <n v="2193.74"/>
    <d v="2026-04-23T00:00:00"/>
    <n v="2193.74"/>
    <m/>
    <m/>
    <x v="0"/>
    <m/>
    <x v="0"/>
    <m/>
    <x v="0"/>
    <m/>
    <m/>
    <m/>
    <m/>
    <m/>
    <m/>
    <m/>
    <n v="0"/>
    <n v="2193.74"/>
    <s v="CERRADA"/>
  </r>
  <r>
    <m/>
    <m/>
    <s v="PLATAFORMA DE PROVEEDORES"/>
    <x v="59"/>
    <s v="ODS"/>
    <s v="ODS"/>
    <n v="0"/>
    <x v="142"/>
    <x v="1"/>
    <s v="PAGO AL CULMINAR"/>
    <n v="5406.87"/>
    <m/>
    <m/>
    <m/>
    <m/>
    <x v="0"/>
    <m/>
    <x v="0"/>
    <m/>
    <x v="0"/>
    <m/>
    <m/>
    <m/>
    <m/>
    <m/>
    <m/>
    <m/>
    <n v="5406.87"/>
    <n v="0"/>
    <s v=""/>
  </r>
  <r>
    <m/>
    <m/>
    <s v="SERVICIOS DE PESCA"/>
    <x v="16"/>
    <s v="ODS"/>
    <s v="ODS"/>
    <n v="0"/>
    <x v="143"/>
    <x v="0"/>
    <s v="PAGO POR TRABAJO EJECUTADO"/>
    <n v="78463.64"/>
    <d v="2026-04-22T00:00:00"/>
    <n v="78463.64"/>
    <m/>
    <m/>
    <x v="0"/>
    <m/>
    <x v="0"/>
    <m/>
    <x v="0"/>
    <m/>
    <m/>
    <m/>
    <m/>
    <m/>
    <m/>
    <m/>
    <n v="0"/>
    <n v="78463.64"/>
    <s v="CERRADA"/>
  </r>
  <r>
    <m/>
    <m/>
    <s v="SERVICIOS DE MONITOREO ESPECIALIZADO GUAFITA"/>
    <x v="14"/>
    <s v="ODS"/>
    <s v="ODS"/>
    <n v="0"/>
    <x v="144"/>
    <x v="0"/>
    <s v="PAGO 100%"/>
    <n v="5060"/>
    <d v="2026-05-25T00:00:00"/>
    <n v="5060"/>
    <m/>
    <m/>
    <x v="0"/>
    <m/>
    <x v="0"/>
    <m/>
    <x v="0"/>
    <m/>
    <m/>
    <m/>
    <m/>
    <m/>
    <m/>
    <m/>
    <n v="0"/>
    <n v="5060"/>
    <s v="CERRADA"/>
  </r>
  <r>
    <m/>
    <m/>
    <s v="RELACION DE SERVICIOS VARIOS"/>
    <x v="2"/>
    <s v="ODS"/>
    <s v="ODS"/>
    <n v="0"/>
    <x v="145"/>
    <x v="0"/>
    <s v="PAGO 100%  TRABAJADO REALIZADO"/>
    <n v="96688"/>
    <d v="2026-05-01T00:00:00"/>
    <n v="96688"/>
    <m/>
    <m/>
    <x v="0"/>
    <m/>
    <x v="0"/>
    <m/>
    <x v="0"/>
    <m/>
    <m/>
    <m/>
    <m/>
    <m/>
    <m/>
    <m/>
    <n v="0"/>
    <n v="96688"/>
    <s v="CERRADA"/>
  </r>
  <r>
    <m/>
    <m/>
    <s v="RELACION DE SERVICIOS VARIOS"/>
    <x v="56"/>
    <s v="ODS"/>
    <s v="ODS"/>
    <n v="0"/>
    <x v="146"/>
    <x v="0"/>
    <s v="PAGO 100% YA EJECUTADO"/>
    <n v="12366.58"/>
    <d v="2026-04-23T00:00:00"/>
    <n v="12366.58"/>
    <m/>
    <m/>
    <x v="0"/>
    <m/>
    <x v="0"/>
    <m/>
    <x v="0"/>
    <m/>
    <m/>
    <m/>
    <m/>
    <m/>
    <m/>
    <m/>
    <n v="0"/>
    <n v="12366.58"/>
    <s v="CERRADA"/>
  </r>
  <r>
    <m/>
    <m/>
    <s v="CONTRA VALUACIONES"/>
    <x v="60"/>
    <s v="ODS"/>
    <s v="ODS"/>
    <n v="0"/>
    <x v="147"/>
    <x v="0"/>
    <s v="TECNICOS PARA INSPECCION DE EQUIPOS Y VEHICULOS"/>
    <n v="2000"/>
    <d v="2026-04-23T00:00:00"/>
    <n v="2000"/>
    <m/>
    <m/>
    <x v="0"/>
    <m/>
    <x v="0"/>
    <m/>
    <x v="0"/>
    <m/>
    <m/>
    <m/>
    <m/>
    <m/>
    <m/>
    <m/>
    <n v="0"/>
    <n v="2000"/>
    <s v="CERRADA"/>
  </r>
  <r>
    <m/>
    <m/>
    <s v="CONTRA VALUACION PAGO MENSUAL"/>
    <x v="61"/>
    <s v="ODS"/>
    <s v="ODS"/>
    <n v="0"/>
    <x v="148"/>
    <x v="1"/>
    <s v="CONEXIÓN DE EQUIPOS BARINAS Y APURE"/>
    <n v="261545.45"/>
    <d v="2026-06-04T00:00:00"/>
    <n v="100000"/>
    <d v="2026-06-15T00:00:00"/>
    <n v="39836.09"/>
    <x v="13"/>
    <n v="48851.4"/>
    <x v="8"/>
    <n v="17298.29"/>
    <x v="0"/>
    <m/>
    <m/>
    <m/>
    <m/>
    <m/>
    <m/>
    <m/>
    <n v="55559.67000000001"/>
    <n v="205985.78"/>
    <s v=""/>
  </r>
  <r>
    <m/>
    <m/>
    <s v="100 % CON ODC"/>
    <x v="62"/>
    <s v="ODS"/>
    <s v="ODS"/>
    <n v="0"/>
    <x v="149"/>
    <x v="0"/>
    <s v="100 % CON ODS"/>
    <n v="1025"/>
    <d v="2026-05-25T00:00:00"/>
    <n v="1025"/>
    <m/>
    <m/>
    <x v="0"/>
    <m/>
    <x v="0"/>
    <m/>
    <x v="0"/>
    <m/>
    <m/>
    <m/>
    <m/>
    <m/>
    <m/>
    <m/>
    <n v="0"/>
    <n v="1025"/>
    <s v="CERRADA"/>
  </r>
  <r>
    <m/>
    <m/>
    <s v="SERVICIOS ADICIONALES TOP DRIVE"/>
    <x v="7"/>
    <s v="ODS"/>
    <s v="ODS"/>
    <n v="0"/>
    <x v="150"/>
    <x v="0"/>
    <m/>
    <n v="197005.54"/>
    <d v="2026-04-29T00:00:00"/>
    <n v="197005.54"/>
    <d v="2026-10-15T00:00:00"/>
    <n v="130812.6308126308"/>
    <x v="0"/>
    <m/>
    <x v="0"/>
    <m/>
    <x v="0"/>
    <m/>
    <m/>
    <m/>
    <m/>
    <m/>
    <m/>
    <m/>
    <n v="-130812.6308126308"/>
    <n v="327818.1708126308"/>
    <s v=""/>
  </r>
  <r>
    <d v="2026-04-21T00:00:00"/>
    <m/>
    <s v="CULMINACION DE PRUEBAS DE CAMPO -- PROCESO QUIMICOS ZOMALCA"/>
    <x v="10"/>
    <s v="ODS"/>
    <s v="ODS"/>
    <n v="0"/>
    <x v="151"/>
    <x v="0"/>
    <s v="100 % CON ODS"/>
    <n v="11436.44"/>
    <d v="2026-05-01T00:00:00"/>
    <n v="11436.44"/>
    <m/>
    <m/>
    <x v="0"/>
    <m/>
    <x v="0"/>
    <m/>
    <x v="0"/>
    <m/>
    <m/>
    <m/>
    <m/>
    <m/>
    <m/>
    <m/>
    <n v="0"/>
    <n v="11436.44"/>
    <s v="CERRADA"/>
  </r>
  <r>
    <d v="2026-04-22T00:00:00"/>
    <s v="2000.15.02"/>
    <s v="CONSTRUCCION Y REPARACION DE CERCA PERIMETRAL "/>
    <x v="55"/>
    <s v="ODS"/>
    <s v="ODS"/>
    <n v="0"/>
    <x v="152"/>
    <x v="0"/>
    <s v="40 % ADELANTO 60% A L CULMINAR SERVICIO"/>
    <n v="16832.76"/>
    <d v="2026-08-10T00:00:00"/>
    <n v="15954.58721951219"/>
    <m/>
    <n v="878.17"/>
    <x v="0"/>
    <m/>
    <x v="0"/>
    <m/>
    <x v="0"/>
    <m/>
    <m/>
    <m/>
    <m/>
    <m/>
    <m/>
    <m/>
    <n v="0.002780487804557197"/>
    <n v="16832.75721951219"/>
    <s v=""/>
  </r>
  <r>
    <m/>
    <m/>
    <s v="APLICACION DE PINTURA Y REPARACIONES VARIAS EN EL CENTRO RESIDENCIAL GUAFITA PDVSA DIVISION APURE"/>
    <x v="40"/>
    <s v="ODS"/>
    <s v="ODS"/>
    <n v="0"/>
    <x v="153"/>
    <x v="0"/>
    <m/>
    <n v="195615.88"/>
    <d v="2026-06-04T00:00:00"/>
    <n v="136931.12"/>
    <m/>
    <m/>
    <x v="0"/>
    <m/>
    <x v="0"/>
    <m/>
    <x v="0"/>
    <m/>
    <m/>
    <m/>
    <m/>
    <m/>
    <m/>
    <m/>
    <n v="58684.76000000001"/>
    <n v="136931.12"/>
    <s v=""/>
  </r>
  <r>
    <m/>
    <m/>
    <s v="RELACION DE SERVICIOS 15-02 AL 15/04"/>
    <x v="2"/>
    <s v="ODS"/>
    <s v="ODS"/>
    <n v="0"/>
    <x v="154"/>
    <x v="0"/>
    <m/>
    <n v="181064.75"/>
    <d v="2026-08-04T00:00:00"/>
    <n v="181064.75"/>
    <m/>
    <m/>
    <x v="0"/>
    <m/>
    <x v="0"/>
    <m/>
    <x v="0"/>
    <m/>
    <m/>
    <m/>
    <m/>
    <m/>
    <m/>
    <m/>
    <n v="0"/>
    <n v="181064.75"/>
    <s v="CERRADA"/>
  </r>
  <r>
    <d v="2026-05-11T00:00:00"/>
    <s v="2000.15.02"/>
    <s v="REEMPLAZO DE LINEA PETROLERA DE 20&quot;, DOS TRAMOS (70M Y 90M) CON CODOS DE 45°"/>
    <x v="63"/>
    <s v="ODS"/>
    <s v="ODS"/>
    <n v="0"/>
    <x v="155"/>
    <x v="1"/>
    <s v="50%  DE ANTICIPO 50% AL CULMINAR"/>
    <n v="38100"/>
    <d v="2026-07-17T00:00:00"/>
    <n v="33300"/>
    <m/>
    <m/>
    <x v="0"/>
    <m/>
    <x v="0"/>
    <m/>
    <x v="0"/>
    <m/>
    <m/>
    <m/>
    <m/>
    <m/>
    <m/>
    <m/>
    <n v="4800"/>
    <n v="33300"/>
    <s v=""/>
  </r>
  <r>
    <d v="2026-05-07T00:00:00"/>
    <m/>
    <s v="RELACION DE SERVICIOS VARIOS EJECUTADOS PERIODO 19 MARZO AL 04 ABRIL 2026"/>
    <x v="56"/>
    <s v="ODS"/>
    <s v="ODS"/>
    <n v="0"/>
    <x v="156"/>
    <x v="0"/>
    <n v="1"/>
    <n v="9094.559999999999"/>
    <d v="2026-05-25T00:00:00"/>
    <n v="9094.559999999999"/>
    <m/>
    <m/>
    <x v="0"/>
    <m/>
    <x v="0"/>
    <m/>
    <x v="0"/>
    <m/>
    <m/>
    <m/>
    <m/>
    <m/>
    <m/>
    <m/>
    <n v="0"/>
    <n v="9094.559999999999"/>
    <s v="CERRADA"/>
  </r>
  <r>
    <m/>
    <m/>
    <s v="SERVICIO DE RECARGA DE EXTINTORES, ESTACION SINCO D BARINAS"/>
    <x v="64"/>
    <s v="ODS"/>
    <s v="ODS"/>
    <n v="0"/>
    <x v="157"/>
    <x v="0"/>
    <s v="ODS-055 POR FIRMA DE EXTIN-PRO-BA Y COORD. ESP. RESP. 04/05"/>
    <n v="780"/>
    <m/>
    <m/>
    <m/>
    <m/>
    <x v="0"/>
    <m/>
    <x v="0"/>
    <m/>
    <x v="0"/>
    <m/>
    <m/>
    <m/>
    <m/>
    <m/>
    <m/>
    <m/>
    <n v="780"/>
    <n v="0"/>
    <s v=""/>
  </r>
  <r>
    <m/>
    <m/>
    <s v="SUMINISTRO Y COLOCACION DE AVISOS Y SEÑALIZACION EN LAS AREAS OP. DE BRN Y APU"/>
    <x v="54"/>
    <s v="ODS"/>
    <s v="ODS"/>
    <n v="0"/>
    <x v="158"/>
    <x v="0"/>
    <s v="SERVICIO EJECUTADO 100% EN CAMPO"/>
    <n v="33150"/>
    <d v="2026-05-25T00:00:00"/>
    <n v="33150"/>
    <m/>
    <m/>
    <x v="0"/>
    <m/>
    <x v="0"/>
    <m/>
    <x v="0"/>
    <m/>
    <m/>
    <m/>
    <m/>
    <m/>
    <m/>
    <m/>
    <n v="0"/>
    <n v="33150"/>
    <s v="CERRADA"/>
  </r>
  <r>
    <d v="2026-05-21T00:00:00"/>
    <s v="2000.08.02"/>
    <s v="SUMINISTRO BES PARA POZOS LA VICTORIA"/>
    <x v="8"/>
    <s v="ODC"/>
    <s v="AP"/>
    <n v="2"/>
    <x v="159"/>
    <x v="0"/>
    <s v="70% CON ODC 30% A 60 DIAS POSTERIOR A ENTREGA (29-05-2026)"/>
    <n v="572452.16"/>
    <s v="31.05.26"/>
    <n v="400716"/>
    <m/>
    <m/>
    <x v="0"/>
    <m/>
    <x v="0"/>
    <m/>
    <x v="0"/>
    <m/>
    <m/>
    <m/>
    <m/>
    <m/>
    <m/>
    <m/>
    <n v="171736.16"/>
    <n v="400716"/>
    <s v=""/>
  </r>
  <r>
    <d v="2026-05-15T00:00:00"/>
    <m/>
    <s v="MANTENIMIENTO Y PINTURA DE GALPÓN N°2, ESTACIÓN GUAFITA DE PDVSA, GUASDUALITO "/>
    <x v="65"/>
    <s v="ODS"/>
    <s v="AP"/>
    <n v="2"/>
    <x v="160"/>
    <x v="0"/>
    <s v="100% servicio ok"/>
    <n v="529590.8"/>
    <d v="2026-06-04T00:00:00"/>
    <n v="35552.66"/>
    <m/>
    <m/>
    <x v="0"/>
    <m/>
    <x v="0"/>
    <m/>
    <x v="0"/>
    <m/>
    <m/>
    <m/>
    <m/>
    <m/>
    <m/>
    <m/>
    <n v="494038.14"/>
    <n v="35552.66"/>
    <s v=""/>
  </r>
  <r>
    <m/>
    <m/>
    <s v="ADQUISICION DE GOMAS DE CABEZAL CAMPOS LVT"/>
    <x v="40"/>
    <s v="ODC"/>
    <s v="AP"/>
    <n v="3"/>
    <x v="161"/>
    <x v="1"/>
    <s v="100% CON ODC"/>
    <n v="55047.08"/>
    <m/>
    <m/>
    <m/>
    <m/>
    <x v="0"/>
    <m/>
    <x v="0"/>
    <m/>
    <x v="0"/>
    <m/>
    <m/>
    <m/>
    <m/>
    <m/>
    <m/>
    <m/>
    <n v="55047.08"/>
    <n v="0"/>
    <s v=""/>
  </r>
  <r>
    <d v="2026-05-13T00:00:00"/>
    <s v="2000,15,02"/>
    <s v="MANTENIMIENTO DE LAS INSTALACIONES DE LA ESTACION SINCO PDVSA DIVISIÓN BARINAS DIRECCIÓN EJECUTIVA DE PRODUCCIÓN LOS LLANOS"/>
    <x v="40"/>
    <s v="ODS"/>
    <s v="BA"/>
    <n v="3"/>
    <x v="162"/>
    <x v="0"/>
    <s v="ADQUISICION DE GOMAS DE CABEZAL CAMPOS LVT"/>
    <n v="55047.08"/>
    <d v="2026-06-18T00:00:00"/>
    <n v="55047.08"/>
    <m/>
    <m/>
    <x v="0"/>
    <m/>
    <x v="0"/>
    <m/>
    <x v="0"/>
    <m/>
    <m/>
    <m/>
    <m/>
    <m/>
    <m/>
    <m/>
    <n v="0"/>
    <n v="55047.08"/>
    <s v="CERRADA"/>
  </r>
  <r>
    <d v="2026-06-15T00:00:00"/>
    <s v="2000.15.01"/>
    <s v="LIMPIEZA DE TANQUE DE 40 MIL BARRIES LVT"/>
    <x v="20"/>
    <s v="ODS"/>
    <s v="AP"/>
    <n v="4"/>
    <x v="163"/>
    <x v="1"/>
    <m/>
    <n v="199692.11"/>
    <m/>
    <m/>
    <m/>
    <m/>
    <x v="0"/>
    <m/>
    <x v="0"/>
    <m/>
    <x v="0"/>
    <m/>
    <m/>
    <m/>
    <m/>
    <m/>
    <m/>
    <m/>
    <n v="199692.11"/>
    <n v="0"/>
    <s v=""/>
  </r>
  <r>
    <d v="2026-05-18T00:00:00"/>
    <s v="2000.08.02"/>
    <s v="ADQUISICION DE POSEIDON   "/>
    <x v="30"/>
    <s v="ODC"/>
    <s v="AP"/>
    <n v="4"/>
    <x v="164"/>
    <x v="1"/>
    <s v="50% ANTICIPO"/>
    <n v="126200"/>
    <m/>
    <m/>
    <m/>
    <m/>
    <x v="0"/>
    <m/>
    <x v="0"/>
    <m/>
    <x v="0"/>
    <m/>
    <m/>
    <m/>
    <m/>
    <m/>
    <m/>
    <m/>
    <n v="126200"/>
    <n v="0"/>
    <s v=""/>
  </r>
  <r>
    <m/>
    <m/>
    <s v="ADICIONALES DE SERVICIOS ELECTRICOS A POZOS EN APURE Y BARINAS"/>
    <x v="61"/>
    <s v="ODS"/>
    <s v="BA"/>
    <n v="5"/>
    <x v="165"/>
    <x v="0"/>
    <s v="ADICIONALES DE SERVICIOS ELECTRICOS A POZOS EN APURE Y BARINAS"/>
    <n v="36903.18"/>
    <d v="2026-07-17T00:00:00"/>
    <n v="36903.18"/>
    <m/>
    <m/>
    <x v="0"/>
    <m/>
    <x v="0"/>
    <m/>
    <x v="0"/>
    <m/>
    <m/>
    <m/>
    <m/>
    <m/>
    <m/>
    <m/>
    <n v="0"/>
    <n v="36903.18"/>
    <s v="CERRADA"/>
  </r>
  <r>
    <m/>
    <m/>
    <s v="SUMINISTRO DE HERRAMIENTAS Y REPUESTOS ELECTRICOS"/>
    <x v="42"/>
    <s v="ODC"/>
    <s v="AP"/>
    <n v="5"/>
    <x v="166"/>
    <x v="0"/>
    <s v=" 60% ODC-AP-COLVEN-005"/>
    <n v="8658.200000000001"/>
    <d v="2026-07-17T00:00:00"/>
    <n v="5194.92"/>
    <d v="2026-06-19T00:00:00"/>
    <m/>
    <x v="0"/>
    <m/>
    <x v="0"/>
    <m/>
    <x v="0"/>
    <m/>
    <m/>
    <m/>
    <m/>
    <m/>
    <m/>
    <m/>
    <n v="3463.280000000001"/>
    <n v="5194.92"/>
    <s v=""/>
  </r>
  <r>
    <m/>
    <m/>
    <s v="FABRICACIÓN DE POLEAS 3 CANALES, VALTRA"/>
    <x v="26"/>
    <s v="ODC"/>
    <s v="AP"/>
    <n v="6"/>
    <x v="167"/>
    <x v="0"/>
    <s v="FABRICACIÓN DE POLEAS 3 CANALES, VALTRA"/>
    <n v="2988"/>
    <m/>
    <m/>
    <m/>
    <m/>
    <x v="0"/>
    <m/>
    <x v="0"/>
    <m/>
    <x v="0"/>
    <m/>
    <m/>
    <m/>
    <m/>
    <m/>
    <m/>
    <m/>
    <n v="2988"/>
    <n v="0"/>
    <s v=""/>
  </r>
  <r>
    <m/>
    <m/>
    <s v="ALQUILER DE RETROEXCAVADORA, BRAZO HIDRAULICO Y VOLTEO PARA OPERACIONES APURE"/>
    <x v="54"/>
    <s v="ODS"/>
    <s v="AP"/>
    <n v="6"/>
    <x v="168"/>
    <x v="0"/>
    <s v="ALQUILER DE RETROEXCAVADORA, BRAZO HIDRAULICO Y VOLTEO PARA OPERACIONES APURE"/>
    <n v="191920"/>
    <d v="2026-08-03T00:00:00"/>
    <n v="63840"/>
    <d v="2026-09-11T00:00:00"/>
    <n v="63840"/>
    <x v="0"/>
    <m/>
    <x v="0"/>
    <m/>
    <x v="0"/>
    <m/>
    <m/>
    <m/>
    <m/>
    <m/>
    <m/>
    <m/>
    <n v="64240"/>
    <n v="127680"/>
    <s v=""/>
  </r>
  <r>
    <m/>
    <m/>
    <s v="MANTENIMIENTO DE BALANCINES LUFKIN MARK II EN CAMPOS DE BARINAS Y SUMINISTRO DE MOTORES ELÉCTRICOS BALDOR, IOSA"/>
    <x v="0"/>
    <s v="ODC"/>
    <s v="AP"/>
    <n v="7"/>
    <x v="169"/>
    <x v="1"/>
    <s v="MANTENIMIENTO DE BALANCINES LUFKIN MARK II EN CAMPOS DE BARINAS Y SUMINISTRO DE MOTORES ELÉCTRICOS BALDOR, IOSA"/>
    <n v="282170"/>
    <d v="2026-07-17T00:00:00"/>
    <n v="112860.22"/>
    <m/>
    <m/>
    <x v="0"/>
    <m/>
    <x v="0"/>
    <m/>
    <x v="0"/>
    <m/>
    <m/>
    <m/>
    <m/>
    <m/>
    <m/>
    <m/>
    <n v="169309.78"/>
    <n v="112860.22"/>
    <s v=""/>
  </r>
  <r>
    <m/>
    <m/>
    <s v="SERVICIO DE ALQUILER DE VACUUM PARA AREAS OPERACIONALES APURE"/>
    <x v="66"/>
    <s v="ODS"/>
    <s v="AP"/>
    <n v="7"/>
    <x v="170"/>
    <x v="0"/>
    <s v="SERVICIO DE ALQUILER DE VACUUM PARA AREAS OPERACIONALES APURE"/>
    <n v="22506.48"/>
    <m/>
    <m/>
    <m/>
    <m/>
    <x v="0"/>
    <m/>
    <x v="0"/>
    <m/>
    <x v="0"/>
    <m/>
    <m/>
    <m/>
    <m/>
    <m/>
    <m/>
    <m/>
    <n v="22506.48"/>
    <n v="0"/>
    <s v=""/>
  </r>
  <r>
    <m/>
    <m/>
    <s v="COMPRA DE MOBILIARIO PARA LA OFICINA PART-93"/>
    <x v="67"/>
    <s v="ODC"/>
    <s v="AP"/>
    <n v="8"/>
    <x v="171"/>
    <x v="1"/>
    <s v="ODC-AP-COLVEN-008"/>
    <n v="15521.93"/>
    <m/>
    <m/>
    <m/>
    <m/>
    <x v="0"/>
    <m/>
    <x v="0"/>
    <m/>
    <x v="0"/>
    <m/>
    <m/>
    <m/>
    <m/>
    <m/>
    <m/>
    <m/>
    <n v="15521.93"/>
    <n v="0"/>
    <s v=""/>
  </r>
  <r>
    <m/>
    <m/>
    <m/>
    <x v="68"/>
    <s v="ODS"/>
    <s v="AP"/>
    <n v="8"/>
    <x v="172"/>
    <x v="1"/>
    <m/>
    <m/>
    <m/>
    <m/>
    <m/>
    <m/>
    <x v="0"/>
    <m/>
    <x v="0"/>
    <m/>
    <x v="0"/>
    <m/>
    <m/>
    <m/>
    <m/>
    <m/>
    <m/>
    <m/>
    <n v="0"/>
    <n v="0"/>
    <s v="CERRADA"/>
  </r>
  <r>
    <d v="2026-06-12T00:00:00"/>
    <s v="2000.01.01 30% 2000.08.01 70%"/>
    <s v="ACUERDO PARA COMPRA DE CABLE PLANO"/>
    <x v="8"/>
    <s v="ODC"/>
    <s v="AP"/>
    <n v="9"/>
    <x v="173"/>
    <x v="1"/>
    <s v="ODC-AP-COLVEN-009"/>
    <n v="1875000"/>
    <m/>
    <m/>
    <m/>
    <m/>
    <x v="0"/>
    <m/>
    <x v="0"/>
    <m/>
    <x v="0"/>
    <m/>
    <m/>
    <m/>
    <m/>
    <m/>
    <m/>
    <m/>
    <n v="1875000"/>
    <n v="0"/>
    <s v=""/>
  </r>
  <r>
    <d v="2026-06-11T00:00:00"/>
    <s v="700.01.08"/>
    <s v="SERVICIO TECNICO INSPECCION DE BOMBAS FOX Y CAMION BOMBA"/>
    <x v="69"/>
    <s v="ODS"/>
    <s v="AP"/>
    <n v="9"/>
    <x v="174"/>
    <x v="0"/>
    <s v="100% ANTICIPO DEL MONTO TOTAL"/>
    <s v="2.000,00"/>
    <m/>
    <m/>
    <m/>
    <m/>
    <x v="0"/>
    <m/>
    <x v="0"/>
    <m/>
    <x v="0"/>
    <m/>
    <m/>
    <m/>
    <m/>
    <m/>
    <m/>
    <m/>
    <n v="2000"/>
    <n v="0"/>
    <s v=""/>
  </r>
  <r>
    <d v="2026-06-15T00:00:00"/>
    <s v="2000.06.03 "/>
    <s v="SERVICIO DE ALQUILER DE VACUUM PARA AREAS OPERACIONALES BARINAS, CAMIMPEG"/>
    <x v="11"/>
    <s v="ODS"/>
    <s v="BA"/>
    <n v="10"/>
    <x v="175"/>
    <x v="1"/>
    <s v="CANCELADA"/>
    <n v="0"/>
    <m/>
    <m/>
    <m/>
    <m/>
    <x v="0"/>
    <m/>
    <x v="0"/>
    <m/>
    <x v="0"/>
    <m/>
    <m/>
    <m/>
    <m/>
    <m/>
    <m/>
    <m/>
    <n v="0"/>
    <n v="0"/>
    <s v="CERRADA"/>
  </r>
  <r>
    <d v="2026-04-20T00:00:00"/>
    <s v="400.02.13"/>
    <s v="COMPRA DE 3 MANGAS DE VIENTO Y SUMINISTRO DE EPP PARA PERSONAL"/>
    <x v="33"/>
    <s v="ODC"/>
    <s v="AP"/>
    <n v="11"/>
    <x v="176"/>
    <x v="0"/>
    <s v="ODC-AP-COLVEN-011"/>
    <n v="651"/>
    <m/>
    <m/>
    <m/>
    <m/>
    <x v="0"/>
    <m/>
    <x v="0"/>
    <m/>
    <x v="0"/>
    <m/>
    <m/>
    <m/>
    <m/>
    <m/>
    <m/>
    <m/>
    <n v="651"/>
    <n v="0"/>
    <s v=""/>
  </r>
  <r>
    <d v="2026-07-03T00:00:00"/>
    <s v="2000,12,05"/>
    <s v="SERVICIO DE TOMA DE MUESTRAS Y ANÁLISIS EN TANQUE DE LAVADO, TANQUE DE FISCALIZACIÓN Y CUALQUIER OTRO TANQUE QUE APLIQUE"/>
    <x v="70"/>
    <s v="ODS"/>
    <s v="AP"/>
    <n v="11"/>
    <x v="177"/>
    <x v="1"/>
    <m/>
    <n v="388070"/>
    <d v="2026-10-16T00:00:00"/>
    <n v="49878"/>
    <m/>
    <m/>
    <x v="0"/>
    <m/>
    <x v="0"/>
    <m/>
    <x v="0"/>
    <m/>
    <m/>
    <m/>
    <m/>
    <m/>
    <m/>
    <m/>
    <n v="338192"/>
    <n v="49878"/>
    <s v=""/>
  </r>
  <r>
    <d v="2026-06-22T00:00:00"/>
    <s v="2000.12.02"/>
    <s v="SUMINISTRO DE REPUESTOS PARA BALANCINES"/>
    <x v="42"/>
    <s v="ODC"/>
    <s v="BA"/>
    <n v="12"/>
    <x v="178"/>
    <x v="0"/>
    <s v="ODC-BA-COLVEN-012"/>
    <n v="13434.38"/>
    <d v="2026-07-17T00:00:00"/>
    <n v="8060.63"/>
    <d v="2026-06-19T00:00:00"/>
    <n v="5373.75"/>
    <x v="0"/>
    <m/>
    <x v="0"/>
    <m/>
    <x v="0"/>
    <m/>
    <m/>
    <m/>
    <m/>
    <m/>
    <m/>
    <m/>
    <n v="0"/>
    <n v="13434.38"/>
    <s v="CERRADA"/>
  </r>
  <r>
    <d v="2026-06-22T00:00:00"/>
    <s v="2000,12,05"/>
    <s v="SERVICIO DE ALQUILER DE GENERADOR DE 500 KVA, UBICADO EN LA FINCA LOS TRILLIZOS, DIVISION BARINAS"/>
    <x v="71"/>
    <s v="ODS"/>
    <s v="AP"/>
    <n v="12"/>
    <x v="179"/>
    <x v="1"/>
    <m/>
    <n v="254040"/>
    <m/>
    <m/>
    <m/>
    <m/>
    <x v="0"/>
    <m/>
    <x v="0"/>
    <m/>
    <x v="0"/>
    <m/>
    <m/>
    <m/>
    <m/>
    <m/>
    <m/>
    <m/>
    <n v="254040"/>
    <n v="0"/>
    <s v=""/>
  </r>
  <r>
    <m/>
    <s v="3000.01"/>
    <s v="SUMINISTRO DE EPP PARA PERSONAL DE APOYO PDVSA-BARINAS"/>
    <x v="3"/>
    <s v="ODC"/>
    <s v="BA"/>
    <n v="13"/>
    <x v="180"/>
    <x v="0"/>
    <s v="RECOBRO PDVSA"/>
    <n v="190"/>
    <d v="2026-07-17T00:00:00"/>
    <n v="190"/>
    <m/>
    <m/>
    <x v="0"/>
    <m/>
    <x v="0"/>
    <m/>
    <x v="0"/>
    <m/>
    <m/>
    <m/>
    <m/>
    <m/>
    <m/>
    <m/>
    <n v="0"/>
    <n v="190"/>
    <s v="CERRADA"/>
  </r>
  <r>
    <m/>
    <s v="2000.15.02"/>
    <s v="SERVICIO TECNICO PARA ACTIVIDADES PARA MTTO PREVENTIVO Y CORRECTIVO"/>
    <x v="61"/>
    <s v="ODS"/>
    <s v="AP"/>
    <n v="13"/>
    <x v="181"/>
    <x v="1"/>
    <s v="100% COTRA VALUACION"/>
    <n v="69591.7"/>
    <d v="2026-08-20T00:00:00"/>
    <n v="28732.45"/>
    <d v="2026-10-16T00:00:00"/>
    <n v="9232.5"/>
    <x v="0"/>
    <m/>
    <x v="0"/>
    <m/>
    <x v="0"/>
    <m/>
    <m/>
    <m/>
    <m/>
    <m/>
    <m/>
    <m/>
    <n v="31626.75"/>
    <n v="37964.95"/>
    <s v=""/>
  </r>
  <r>
    <m/>
    <m/>
    <s v="SUMINISTRO DE MATERIALES PARA LA COMPLETACION DE POZO LVT-12"/>
    <x v="2"/>
    <s v="ODC"/>
    <s v="AP"/>
    <n v="14"/>
    <x v="182"/>
    <x v="0"/>
    <s v="ODC-AP-COLVEN-014"/>
    <n v="3350"/>
    <d v="2026-07-17T00:00:00"/>
    <n v="3350"/>
    <m/>
    <m/>
    <x v="0"/>
    <m/>
    <x v="0"/>
    <m/>
    <x v="0"/>
    <m/>
    <m/>
    <m/>
    <m/>
    <m/>
    <m/>
    <m/>
    <n v="0"/>
    <n v="3350"/>
    <s v="CERRADA"/>
  </r>
  <r>
    <d v="2026-07-17T00:00:00"/>
    <s v="2000.15.02"/>
    <s v="PAGO 100% ODS-BA-COLVEN-014MANTENIMIENTO AREA OPERACIONAL BNS"/>
    <x v="72"/>
    <s v="ODS"/>
    <s v="BA"/>
    <n v="14"/>
    <x v="183"/>
    <x v="0"/>
    <s v="100% A LOS 30 DIASPOSTERIOR A LA ODS"/>
    <n v="1750"/>
    <d v="2026-07-17T00:00:00"/>
    <n v="1750"/>
    <m/>
    <m/>
    <x v="0"/>
    <m/>
    <x v="0"/>
    <m/>
    <x v="0"/>
    <m/>
    <m/>
    <m/>
    <m/>
    <m/>
    <m/>
    <m/>
    <n v="0"/>
    <n v="1750"/>
    <s v="CERRADA"/>
  </r>
  <r>
    <d v="2026-06-09T00:00:00"/>
    <s v="2000.02.02 /.09.02 /.02.03 / .09.03"/>
    <s v="SUMINISTRO DE TRANSFORMADORES SDT Y SUT,  NEW TECH"/>
    <x v="8"/>
    <s v="ODC"/>
    <s v="BA"/>
    <n v="16"/>
    <x v="184"/>
    <x v="1"/>
    <s v="ODC-AB-COLVEN-016"/>
    <n v="195000"/>
    <d v="2026-08-11T00:00:00"/>
    <n v="38000"/>
    <d v="2026-08-11T00:00:00"/>
    <n v="40000"/>
    <x v="14"/>
    <n v="7000"/>
    <x v="9"/>
    <n v="67000"/>
    <x v="0"/>
    <m/>
    <m/>
    <m/>
    <m/>
    <m/>
    <m/>
    <m/>
    <n v="43000"/>
    <n v="152000"/>
    <s v=""/>
  </r>
  <r>
    <d v="2026-06-26T00:00:00"/>
    <s v="2000.06.07"/>
    <s v="REPARACION DE TRANSFORMADORES DE POTENCIA"/>
    <x v="49"/>
    <s v="ODS"/>
    <s v="BA"/>
    <n v="16"/>
    <x v="185"/>
    <x v="1"/>
    <m/>
    <n v="122800"/>
    <m/>
    <m/>
    <m/>
    <m/>
    <x v="0"/>
    <m/>
    <x v="0"/>
    <m/>
    <x v="0"/>
    <m/>
    <m/>
    <m/>
    <m/>
    <m/>
    <m/>
    <m/>
    <n v="122800"/>
    <n v="0"/>
    <s v=""/>
  </r>
  <r>
    <m/>
    <m/>
    <s v="SUMINISTRO DE CARTELERA INFORMATIVA PARA LA SEDE OFICINA BARINAS"/>
    <x v="73"/>
    <s v="ODC"/>
    <s v="BA"/>
    <n v="17"/>
    <x v="186"/>
    <x v="1"/>
    <s v="ODC-BA-COLVEN-017"/>
    <n v="185"/>
    <m/>
    <m/>
    <m/>
    <m/>
    <x v="0"/>
    <m/>
    <x v="0"/>
    <m/>
    <x v="0"/>
    <m/>
    <m/>
    <m/>
    <m/>
    <m/>
    <m/>
    <m/>
    <n v="185"/>
    <n v="0"/>
    <s v=""/>
  </r>
  <r>
    <d v="2026-07-06T00:00:00"/>
    <s v="2000.13.10"/>
    <s v="SUMINISTRO DE BOMBAS DOSIFICADORAS DE QUIMICA"/>
    <x v="30"/>
    <s v="ODC"/>
    <s v="BA"/>
    <n v="18"/>
    <x v="187"/>
    <x v="1"/>
    <s v="100% ANTICIPO"/>
    <n v="92950"/>
    <d v="2026-08-18T00:00:00"/>
    <n v="92950"/>
    <m/>
    <m/>
    <x v="0"/>
    <m/>
    <x v="0"/>
    <m/>
    <x v="0"/>
    <m/>
    <m/>
    <m/>
    <m/>
    <m/>
    <m/>
    <m/>
    <n v="0"/>
    <n v="92950"/>
    <s v="CERRADA"/>
  </r>
  <r>
    <d v="2026-06-25T00:00:00"/>
    <s v="2000.15.01 / 02"/>
    <s v="RELACION DE SERVICIOS VARIOS EJECUTADOS CLOMAT"/>
    <x v="56"/>
    <s v="ODS"/>
    <s v="BA"/>
    <n v="18"/>
    <x v="188"/>
    <x v="0"/>
    <s v="RELACION DE SERVICIOS VARIOS EJECUTADOS CLOMAT"/>
    <n v="21615.8"/>
    <d v="2026-08-26T00:00:00"/>
    <n v="21615.8"/>
    <m/>
    <m/>
    <x v="0"/>
    <m/>
    <x v="0"/>
    <m/>
    <x v="0"/>
    <m/>
    <m/>
    <m/>
    <m/>
    <m/>
    <m/>
    <m/>
    <n v="0"/>
    <n v="21615.8"/>
    <s v="CERRADA"/>
  </r>
  <r>
    <d v="2026-06-11T00:00:00"/>
    <s v="2000.08.02"/>
    <s v="SUMINISTRO BES PARA POZO LVT-064, TAMORCA"/>
    <x v="1"/>
    <s v="ODC"/>
    <s v="BA"/>
    <n v="19"/>
    <x v="189"/>
    <x v="0"/>
    <s v="ODC-AP-COLVEN-019"/>
    <n v="171985"/>
    <d v="2026-08-18T00:00:00"/>
    <n v="51595.53"/>
    <d v="2026-09-18T00:00:00"/>
    <n v="120389.47"/>
    <x v="0"/>
    <m/>
    <x v="0"/>
    <m/>
    <x v="0"/>
    <m/>
    <m/>
    <m/>
    <m/>
    <m/>
    <m/>
    <m/>
    <n v="0"/>
    <n v="171985"/>
    <s v="CERRADA"/>
  </r>
  <r>
    <d v="2026-07-03T00:00:00"/>
    <s v="600.01.12"/>
    <s v="RELACION SERVICIOS 7 VENCEDORES"/>
    <x v="74"/>
    <s v="ODS"/>
    <s v="BA"/>
    <n v="19"/>
    <x v="190"/>
    <x v="0"/>
    <m/>
    <n v="1190"/>
    <m/>
    <m/>
    <m/>
    <m/>
    <x v="0"/>
    <m/>
    <x v="0"/>
    <m/>
    <x v="0"/>
    <m/>
    <m/>
    <m/>
    <m/>
    <m/>
    <m/>
    <m/>
    <n v="1190"/>
    <n v="0"/>
    <s v=""/>
  </r>
  <r>
    <m/>
    <s v="2000.14"/>
    <s v="SUMINISTRO DE COMBUSTIBLE EQUIPOS COLVEN 01 Y 02, DIST FLOR DE APURE"/>
    <x v="75"/>
    <s v="ODC"/>
    <s v="AP"/>
    <n v="20"/>
    <x v="191"/>
    <x v="1"/>
    <s v="SUMINISTRO DE COMBUSTIBLE EQUIPOS COLVEN 01 Y 02, DIST FLOR DE APURE"/>
    <n v="6700"/>
    <d v="2026-10-16T00:00:00"/>
    <n v="5000"/>
    <m/>
    <m/>
    <x v="0"/>
    <m/>
    <x v="0"/>
    <m/>
    <x v="0"/>
    <m/>
    <m/>
    <m/>
    <m/>
    <m/>
    <m/>
    <m/>
    <n v="1700"/>
    <n v="5000"/>
    <s v=""/>
  </r>
  <r>
    <d v="2026-06-29T00:00:00"/>
    <s v="2000.11.02"/>
    <s v="SERVICIO DE REPARACION DE TRANSFORMADOR DE POTENCIA DE 550 KVA, 13.8 KV / 480, POZO GF-106, APURE"/>
    <x v="61"/>
    <s v="ODS"/>
    <s v="AP"/>
    <n v="20"/>
    <x v="192"/>
    <x v="0"/>
    <m/>
    <n v="4997.17"/>
    <d v="2026-07-31T00:00:00"/>
    <n v="4997.17"/>
    <m/>
    <m/>
    <x v="0"/>
    <m/>
    <x v="0"/>
    <m/>
    <x v="0"/>
    <m/>
    <m/>
    <m/>
    <m/>
    <m/>
    <m/>
    <m/>
    <n v="0"/>
    <n v="4997.17"/>
    <s v="CERRADA"/>
  </r>
  <r>
    <d v="2026-06-12T00:00:00"/>
    <s v="2000.15.02"/>
    <s v="SUMINISTRO DE TUBOS DE CONCRETO DOBLE MALLA, COINBACA"/>
    <x v="76"/>
    <s v="ODC"/>
    <s v="BA"/>
    <n v="21"/>
    <x v="193"/>
    <x v="0"/>
    <s v="SUMINISTRO DE TUBOS DE CONCRETO DOBLE MALLA, COINBACA"/>
    <n v="5242.65"/>
    <d v="1914-05-18T15:36:00"/>
    <n v="5242.65"/>
    <m/>
    <m/>
    <x v="0"/>
    <m/>
    <x v="0"/>
    <m/>
    <x v="0"/>
    <m/>
    <m/>
    <m/>
    <m/>
    <m/>
    <m/>
    <m/>
    <n v="0"/>
    <n v="5242.65"/>
    <s v="CERRADA"/>
  </r>
  <r>
    <d v="2026-07-02T00:00:00"/>
    <s v="2000.15.01/02"/>
    <s v="RELACION DE SERVICIOS GAMONTY C.A."/>
    <x v="2"/>
    <s v="ODS"/>
    <s v="BA"/>
    <n v="21"/>
    <x v="194"/>
    <x v="0"/>
    <s v="MANTENIMIENTO AREA OPERACIONAL"/>
    <n v="91173.5"/>
    <d v="2026-08-26T00:00:00"/>
    <n v="91173.5"/>
    <m/>
    <m/>
    <x v="0"/>
    <m/>
    <x v="0"/>
    <m/>
    <x v="0"/>
    <m/>
    <m/>
    <m/>
    <m/>
    <m/>
    <m/>
    <m/>
    <n v="0"/>
    <n v="91173.5"/>
    <s v="CERRADA"/>
  </r>
  <r>
    <d v="2026-07-01T00:00:00"/>
    <s v="2000.15.01/02"/>
    <s v="CONEXIONADO ELECTRICO EQUIPOS DE SUPERFICIE, APURE / BARINAS"/>
    <x v="61"/>
    <s v="ODS"/>
    <s v="BA"/>
    <n v="22"/>
    <x v="195"/>
    <x v="1"/>
    <m/>
    <n v="261545.45"/>
    <d v="2026-08-26T00:00:00"/>
    <n v="70021.60000000001"/>
    <m/>
    <m/>
    <x v="0"/>
    <m/>
    <x v="0"/>
    <m/>
    <x v="0"/>
    <m/>
    <m/>
    <m/>
    <m/>
    <m/>
    <m/>
    <m/>
    <n v="191523.85"/>
    <n v="70021.60000000001"/>
    <s v=""/>
  </r>
  <r>
    <d v="2026-06-16T00:00:00"/>
    <s v="2000.11.02"/>
    <s v="SUMINISTRO DE FILTROS PARA MANTENIMIENTO DE GENERACION ELECTRICA APURE"/>
    <x v="31"/>
    <s v="ODC"/>
    <s v="AP"/>
    <n v="23"/>
    <x v="196"/>
    <x v="0"/>
    <s v="100 % A ENTREGA (POR PAGO)"/>
    <n v="3403.93"/>
    <d v="2026-07-17T00:00:00"/>
    <n v="3403.93"/>
    <m/>
    <m/>
    <x v="0"/>
    <m/>
    <x v="0"/>
    <m/>
    <x v="0"/>
    <m/>
    <m/>
    <m/>
    <m/>
    <m/>
    <m/>
    <m/>
    <n v="0"/>
    <n v="3403.93"/>
    <s v="CERRADA"/>
  </r>
  <r>
    <d v="2026-07-08T00:00:00"/>
    <s v="2000.05.04 S (40%) / 2000.12.05  (60%)"/>
    <s v="CARACTERIZACION DE CRUDOS EN LOS PUNTOS FISCALES BARINAS-APURE"/>
    <x v="77"/>
    <s v="ODS"/>
    <s v="BA"/>
    <n v="23"/>
    <x v="197"/>
    <x v="0"/>
    <m/>
    <n v="8043.21"/>
    <m/>
    <m/>
    <m/>
    <m/>
    <x v="0"/>
    <m/>
    <x v="0"/>
    <m/>
    <x v="0"/>
    <m/>
    <m/>
    <m/>
    <m/>
    <m/>
    <m/>
    <m/>
    <n v="8043.21"/>
    <n v="0"/>
    <s v=""/>
  </r>
  <r>
    <d v="2026-06-08T00:00:00"/>
    <m/>
    <s v="SUMINISTRO DE ACEITE DILECTRICO PARA GENERACION ELECTRICA APURE"/>
    <x v="42"/>
    <s v="ODC"/>
    <s v="AP"/>
    <n v="24"/>
    <x v="198"/>
    <x v="0"/>
    <s v="100 % ENTREGA"/>
    <n v="48230"/>
    <d v="2026-07-17T00:00:00"/>
    <n v="48230"/>
    <m/>
    <m/>
    <x v="0"/>
    <m/>
    <x v="0"/>
    <m/>
    <x v="0"/>
    <m/>
    <m/>
    <m/>
    <m/>
    <m/>
    <m/>
    <m/>
    <n v="0"/>
    <n v="48230"/>
    <s v="CERRADA"/>
  </r>
  <r>
    <d v="2026-07-06T00:00:00"/>
    <s v="2000.06.04"/>
    <s v="SERVICIO DE BIOTRATAMIENTO DE SUELOS CONTAMINADOS PRODUCTOS DE EVENTOS NO DESEADOS EN LAS POLIGONALES DE BARINAS Y APURE_x0009__x0009__x0009__x0009__x0009__x0009_"/>
    <x v="71"/>
    <s v="ODS"/>
    <s v="BA"/>
    <n v="24"/>
    <x v="199"/>
    <x v="1"/>
    <m/>
    <n v="797741.37"/>
    <m/>
    <m/>
    <m/>
    <m/>
    <x v="0"/>
    <m/>
    <x v="0"/>
    <m/>
    <x v="0"/>
    <m/>
    <m/>
    <m/>
    <m/>
    <m/>
    <m/>
    <m/>
    <n v="797741.37"/>
    <n v="0"/>
    <s v=""/>
  </r>
  <r>
    <d v="2026-06-22T00:00:00"/>
    <s v="2000.01.05"/>
    <s v="SUMINISTRO DE BOMBAS INSERTAS DE ANCLAJE INFERIOR PARA LOS POZOS SSW-54, SSW-39 Y SIN-39, BARINAS"/>
    <x v="78"/>
    <s v="ODC"/>
    <s v="BA"/>
    <n v="25"/>
    <x v="200"/>
    <x v="0"/>
    <s v="ABONO 11.050"/>
    <n v="32854"/>
    <d v="2026-07-06T00:00:00"/>
    <n v="11050"/>
    <d v="2026-08-11T00:00:00"/>
    <n v="21804"/>
    <x v="0"/>
    <m/>
    <x v="0"/>
    <m/>
    <x v="0"/>
    <m/>
    <m/>
    <m/>
    <m/>
    <m/>
    <m/>
    <m/>
    <n v="0"/>
    <n v="32854"/>
    <s v="CERRADA"/>
  </r>
  <r>
    <d v="2026-06-22T00:00:00"/>
    <s v="2000.01.02"/>
    <s v="SUMINISTRO BES PARA POZOS SIN-045 Y MPN-01X BARINAS, TAMORCA"/>
    <x v="1"/>
    <s v="ODC"/>
    <s v="BA"/>
    <n v="26"/>
    <x v="201"/>
    <x v="0"/>
    <s v="ANTICIPO 30% "/>
    <n v="322985.76"/>
    <d v="2026-07-17T00:00:00"/>
    <n v="96974"/>
    <m/>
    <m/>
    <x v="0"/>
    <m/>
    <x v="0"/>
    <m/>
    <x v="0"/>
    <m/>
    <m/>
    <m/>
    <m/>
    <m/>
    <m/>
    <m/>
    <n v="226011.76"/>
    <n v="96974"/>
    <s v=""/>
  </r>
  <r>
    <d v="2026-07-30T00:00:00"/>
    <s v=" 700.01.04 "/>
    <s v="SERVICIO PARA EL DIAGNOSTICO DE LOS EQUIPOS PORTATILES CONTRA INCENDIO APURE_x0009__x0009__x0009__x0009__x0009__x0009__x0009_"/>
    <x v="64"/>
    <s v="ODS"/>
    <s v="AP"/>
    <n v="26"/>
    <x v="202"/>
    <x v="0"/>
    <s v="100% ANTICIPO  "/>
    <n v="500"/>
    <d v="2026-08-19T00:00:00"/>
    <n v="500"/>
    <m/>
    <m/>
    <x v="0"/>
    <m/>
    <x v="0"/>
    <m/>
    <x v="0"/>
    <m/>
    <m/>
    <m/>
    <m/>
    <m/>
    <m/>
    <m/>
    <n v="0"/>
    <n v="500"/>
    <s v="CERRADA"/>
  </r>
  <r>
    <d v="2026-06-20T00:00:00"/>
    <m/>
    <s v="SUMINISTRO DE KLC Y XANTICA APURE"/>
    <x v="30"/>
    <s v="ODC"/>
    <s v="AP"/>
    <n v="27"/>
    <x v="203"/>
    <x v="0"/>
    <s v="50% CON ODC / 50%  A 30 DIAS CONTINUOS DE ENTREGA EN CAMPO"/>
    <n v="81757.5"/>
    <d v="2026-08-04T00:00:00"/>
    <n v="40842.5"/>
    <m/>
    <m/>
    <x v="0"/>
    <m/>
    <x v="0"/>
    <m/>
    <x v="0"/>
    <m/>
    <m/>
    <m/>
    <m/>
    <m/>
    <m/>
    <m/>
    <n v="40915"/>
    <n v="40842.5"/>
    <s v=""/>
  </r>
  <r>
    <m/>
    <s v="2000.13.08 "/>
    <s v="SERVICIO REPARACION DE TRANSFORMADORES DE 10 MVA DE LA SUB-ESTACION ELECTRICA GUAFITA Y SUB-ESTACION ELECTRICA LA VICTORIA DE LA DIVISION APURE "/>
    <x v="61"/>
    <s v="ODS"/>
    <s v="AP"/>
    <n v="27"/>
    <x v="204"/>
    <x v="1"/>
    <m/>
    <n v="292340.84"/>
    <m/>
    <m/>
    <m/>
    <m/>
    <x v="0"/>
    <m/>
    <x v="0"/>
    <m/>
    <x v="0"/>
    <m/>
    <m/>
    <m/>
    <m/>
    <m/>
    <m/>
    <m/>
    <n v="292340.84"/>
    <n v="0"/>
    <s v=""/>
  </r>
  <r>
    <d v="2026-06-19T00:00:00"/>
    <s v="2000.14"/>
    <s v="SUMINISTRO DE COMBUSTIBLE"/>
    <x v="75"/>
    <s v="ODC"/>
    <s v="AP"/>
    <n v="28"/>
    <x v="205"/>
    <x v="0"/>
    <s v="100% CON ODC"/>
    <n v="6700"/>
    <d v="2026-07-03T00:00:00"/>
    <n v="3350"/>
    <d v="2026-07-31T00:00:00"/>
    <n v="3350"/>
    <x v="0"/>
    <m/>
    <x v="0"/>
    <m/>
    <x v="0"/>
    <m/>
    <m/>
    <m/>
    <m/>
    <m/>
    <m/>
    <m/>
    <n v="0"/>
    <n v="6700"/>
    <s v="CERRADA"/>
  </r>
  <r>
    <d v="2026-08-03T00:00:00"/>
    <s v="2000.12.05"/>
    <s v="SERVICIOS DE LIMPIEZA EN SEPARADORES DE ESTACION FLUIDOS LA VICTORIA"/>
    <x v="34"/>
    <s v="ODS"/>
    <s v="AP"/>
    <n v="28"/>
    <x v="206"/>
    <x v="0"/>
    <s v="6613,31 40% ANTICIPO 30DIAS SEGÚN VALUACIONES"/>
    <n v="27228.06"/>
    <d v="2026-07-16T00:00:00"/>
    <n v="6613.31"/>
    <d v="2026-10-07T00:00:00"/>
    <n v="20614.75"/>
    <x v="0"/>
    <m/>
    <x v="0"/>
    <m/>
    <x v="0"/>
    <m/>
    <m/>
    <m/>
    <m/>
    <m/>
    <m/>
    <m/>
    <n v="0"/>
    <n v="27228.06"/>
    <s v="CERRADA"/>
  </r>
  <r>
    <d v="2026-06-20T00:00:00"/>
    <s v="2000.11.02"/>
    <s v="SUMINISTRO DE CABLE 350MCM Y TERMINALES DE GENERACION ELECTRICA APURE"/>
    <x v="61"/>
    <s v="ODC"/>
    <s v="AP"/>
    <n v="29"/>
    <x v="207"/>
    <x v="0"/>
    <s v="100% CON ODC"/>
    <n v="29885"/>
    <d v="2026-08-11T00:00:00"/>
    <n v="29885"/>
    <m/>
    <m/>
    <x v="0"/>
    <m/>
    <x v="0"/>
    <m/>
    <x v="0"/>
    <m/>
    <m/>
    <m/>
    <m/>
    <m/>
    <m/>
    <m/>
    <n v="0"/>
    <n v="29885"/>
    <s v="CERRADA"/>
  </r>
  <r>
    <s v="-"/>
    <s v="2000.11.02 "/>
    <s v="REPOSICION DE MALLA ALFAJOL Y PORTON EN EQUIPO DE SUPERFICIE ESTACION VICTORIA, GUASDUALITO ESTADO APURE"/>
    <x v="79"/>
    <s v="ODS"/>
    <s v="AP"/>
    <n v="29"/>
    <x v="208"/>
    <x v="0"/>
    <m/>
    <n v="45897.28"/>
    <m/>
    <m/>
    <m/>
    <m/>
    <x v="0"/>
    <m/>
    <x v="0"/>
    <m/>
    <x v="0"/>
    <m/>
    <m/>
    <m/>
    <m/>
    <m/>
    <m/>
    <m/>
    <n v="45897.28"/>
    <n v="0"/>
    <s v=""/>
  </r>
  <r>
    <d v="2026-06-18T00:00:00"/>
    <s v="2000.01.02 - 2000.08.02"/>
    <s v="SUMINISTRO BES PARA POZOS SIN-063 EN BARINAS Y GF-128 EN APURE"/>
    <x v="8"/>
    <s v="ODC"/>
    <s v="AB"/>
    <n v="30"/>
    <x v="209"/>
    <x v="0"/>
    <s v="ANTICIPO 70% ODC-AB-COLVEN-030"/>
    <n v="421558.93"/>
    <d v="2026-07-16T00:00:00"/>
    <n v="295091.25"/>
    <d v="2026-08-11T00:00:00"/>
    <n v="7604.61"/>
    <x v="15"/>
    <n v="118863.07"/>
    <x v="0"/>
    <m/>
    <x v="0"/>
    <m/>
    <m/>
    <m/>
    <m/>
    <m/>
    <m/>
    <m/>
    <n v="0"/>
    <n v="421558.93"/>
    <s v="CERRADA"/>
  </r>
  <r>
    <d v="2026-07-08T00:00:00"/>
    <s v="2000.13.12 Donaciones y Otros AP"/>
    <s v="SUMINISTRO DE INSUMOS Y APOYO PARA CONTINGENCIA POR RIESGO DE INUNDACION EN EL MUNICIPIO PAEZ ESTADO APURE"/>
    <x v="65"/>
    <s v="ODS"/>
    <s v="AP"/>
    <n v="30"/>
    <x v="210"/>
    <x v="0"/>
    <m/>
    <n v="23670"/>
    <d v="2026-08-20T00:00:00"/>
    <n v="23670"/>
    <m/>
    <m/>
    <x v="0"/>
    <m/>
    <x v="0"/>
    <m/>
    <x v="0"/>
    <m/>
    <m/>
    <m/>
    <m/>
    <m/>
    <m/>
    <m/>
    <n v="0"/>
    <n v="23670"/>
    <s v="CERRADA"/>
  </r>
  <r>
    <d v="2026-06-24T00:00:00"/>
    <s v="2000.08.02"/>
    <s v="SUMINISTRO DE SISTEMA BES PARA POZOS LVT-042 EN APURE"/>
    <x v="8"/>
    <s v="ODC"/>
    <s v="AP"/>
    <n v="31"/>
    <x v="211"/>
    <x v="1"/>
    <s v="70% ANTICIPO"/>
    <n v="169804.38"/>
    <d v="2026-10-21T00:00:00"/>
    <n v="42451.01"/>
    <m/>
    <m/>
    <x v="0"/>
    <m/>
    <x v="0"/>
    <m/>
    <x v="0"/>
    <m/>
    <m/>
    <m/>
    <m/>
    <m/>
    <m/>
    <m/>
    <n v="127353.37"/>
    <n v="42451.01"/>
    <s v=""/>
  </r>
  <r>
    <d v="2026-07-08T00:00:00"/>
    <s v="2000.15.01 Mantenimiento Area Operacional AP"/>
    <s v="ALQUILER Y PUESTA EN FUNCIONAMIENTO DE BOMBA PARA DESAJO DE CRUDO DEL TK-100-1, GUAFITA ESTADO APURE"/>
    <x v="65"/>
    <s v="ODS"/>
    <s v="AP"/>
    <n v="31"/>
    <x v="212"/>
    <x v="1"/>
    <m/>
    <n v="40000"/>
    <m/>
    <m/>
    <m/>
    <m/>
    <x v="0"/>
    <m/>
    <x v="0"/>
    <m/>
    <x v="0"/>
    <m/>
    <m/>
    <m/>
    <m/>
    <m/>
    <m/>
    <m/>
    <n v="40000"/>
    <n v="0"/>
    <s v=""/>
  </r>
  <r>
    <d v="2026-06-26T00:00:00"/>
    <s v="2000.12.05"/>
    <s v="SUMINISTRO DE MEDIDOR TIPO SERAFIN PARA POZOS APURE"/>
    <x v="80"/>
    <s v="ODC"/>
    <s v="AP"/>
    <n v="32"/>
    <x v="213"/>
    <x v="1"/>
    <m/>
    <n v="83650"/>
    <m/>
    <m/>
    <m/>
    <m/>
    <x v="0"/>
    <m/>
    <x v="0"/>
    <m/>
    <x v="0"/>
    <m/>
    <m/>
    <m/>
    <m/>
    <m/>
    <m/>
    <m/>
    <n v="83650"/>
    <n v="0"/>
    <s v=""/>
  </r>
  <r>
    <d v="2026-07-04T00:00:00"/>
    <s v="2000.12.05"/>
    <s v="SUMINISTRO, INSTALACION, PRUEBAS Y PUESTA EN SERVICIO DE SISTEMAS _x000a_DE MEDICION Y CONTROL DE INTERFASE AGUA-CRUDO EN TANQUE DESHIDRATACION 100 MBLS DE LA ESTACION DE FLUJO GUAFITA, PDVSA DIVISION APURE DE LA DIRECCION EJECUTIVA PRODUCCION LOS LLANOS"/>
    <x v="81"/>
    <s v="ODC"/>
    <s v="AP"/>
    <n v="33"/>
    <x v="214"/>
    <x v="1"/>
    <m/>
    <n v="181332"/>
    <m/>
    <m/>
    <m/>
    <m/>
    <x v="0"/>
    <m/>
    <x v="0"/>
    <m/>
    <x v="0"/>
    <m/>
    <m/>
    <m/>
    <m/>
    <m/>
    <m/>
    <m/>
    <n v="181332"/>
    <n v="0"/>
    <s v=""/>
  </r>
  <r>
    <d v="2026-08-04T00:00:00"/>
    <s v="2000.13.04"/>
    <s v="CUADRILLA PARA SANEAMIENTO AREAS OPERACIONALES BARINAS"/>
    <x v="55"/>
    <s v="ODS"/>
    <s v="AP"/>
    <n v="33"/>
    <x v="215"/>
    <x v="0"/>
    <s v="100% DE PAGO A 30 DIAS"/>
    <n v="9653.280000000001"/>
    <m/>
    <m/>
    <m/>
    <m/>
    <x v="0"/>
    <m/>
    <x v="0"/>
    <m/>
    <x v="0"/>
    <m/>
    <m/>
    <m/>
    <m/>
    <m/>
    <m/>
    <m/>
    <n v="9653.280000000001"/>
    <n v="0"/>
    <s v=""/>
  </r>
  <r>
    <m/>
    <s v="400.12.13"/>
    <s v="SUMINISTRO DE EPP: BOTAS Y MASCARA BNS"/>
    <x v="3"/>
    <s v="ODC"/>
    <s v="BA"/>
    <n v="34"/>
    <x v="216"/>
    <x v="0"/>
    <m/>
    <n v="2162"/>
    <d v="2026-10-22T00:00:00"/>
    <n v="2162"/>
    <m/>
    <m/>
    <x v="0"/>
    <m/>
    <x v="0"/>
    <m/>
    <x v="0"/>
    <m/>
    <m/>
    <m/>
    <m/>
    <m/>
    <m/>
    <m/>
    <n v="0"/>
    <n v="2162"/>
    <s v="CERRADA"/>
  </r>
  <r>
    <d v="2026-07-06T00:00:00"/>
    <s v=" 2000.15.01 MANTENIMIENTO AREA OPERACIONAL AP"/>
    <s v="ADECUACION AREAS EXTERNAS EN EL COMEDOR ESTACION LA VICTORIA APURE"/>
    <x v="40"/>
    <s v="ODS"/>
    <s v="AP"/>
    <n v="34"/>
    <x v="217"/>
    <x v="0"/>
    <m/>
    <n v="34409.09"/>
    <d v="2026-08-20T00:00:00"/>
    <n v="34409.09"/>
    <m/>
    <m/>
    <x v="0"/>
    <m/>
    <x v="0"/>
    <m/>
    <x v="0"/>
    <m/>
    <m/>
    <m/>
    <m/>
    <m/>
    <m/>
    <m/>
    <n v="0"/>
    <n v="34409.09"/>
    <s v="CERRADA"/>
  </r>
  <r>
    <d v="2026-07-16T00:00:00"/>
    <s v="2000.14.03"/>
    <s v="SUMINISTRO DE LAMINA DE EMPACADURA BNS"/>
    <x v="25"/>
    <s v="ODC"/>
    <s v="BA"/>
    <n v="35"/>
    <x v="218"/>
    <x v="0"/>
    <s v="70% ANTICIPO30% DESPUES DE ENTREGA CONFORME"/>
    <n v="820"/>
    <d v="2026-08-10T00:00:00"/>
    <n v="574"/>
    <m/>
    <m/>
    <x v="0"/>
    <m/>
    <x v="0"/>
    <m/>
    <x v="0"/>
    <m/>
    <m/>
    <m/>
    <m/>
    <m/>
    <m/>
    <m/>
    <n v="246"/>
    <n v="574"/>
    <s v=""/>
  </r>
  <r>
    <s v="06/07/26"/>
    <s v="2000.09.05"/>
    <s v="SERVICIO TECNICO ESPECIALIZADO PARA EQUIPOS BES"/>
    <x v="14"/>
    <s v="ODS"/>
    <s v="AP"/>
    <n v="36"/>
    <x v="219"/>
    <x v="0"/>
    <s v="100% a treinta (30) días netos posterior a cada entrega."/>
    <n v="4620"/>
    <m/>
    <m/>
    <m/>
    <m/>
    <x v="0"/>
    <m/>
    <x v="0"/>
    <m/>
    <x v="0"/>
    <m/>
    <m/>
    <m/>
    <m/>
    <m/>
    <m/>
    <m/>
    <n v="4620"/>
    <n v="0"/>
    <s v=""/>
  </r>
  <r>
    <d v="2026-07-17T00:00:00"/>
    <s v="2000.13.10"/>
    <s v="SUMINISTRO DE KCL PARA CONTROL DE POZOS APURE"/>
    <x v="71"/>
    <s v="ODC"/>
    <s v="AP"/>
    <n v="37"/>
    <x v="220"/>
    <x v="0"/>
    <m/>
    <n v="37152.48"/>
    <m/>
    <m/>
    <m/>
    <m/>
    <x v="0"/>
    <m/>
    <x v="0"/>
    <m/>
    <x v="0"/>
    <m/>
    <m/>
    <m/>
    <m/>
    <m/>
    <m/>
    <m/>
    <n v="37152.48"/>
    <n v="0"/>
    <s v=""/>
  </r>
  <r>
    <s v="-"/>
    <s v="2000.15.02 Mantenimiento Area Operacional BNS"/>
    <s v="FACILIDADES PARA INSTALACIÓN DE GENERADOR ELÉCTRICO DE CAPACIDAD DE 500 KVA"/>
    <x v="71"/>
    <s v="ODS"/>
    <s v="BA"/>
    <n v="37"/>
    <x v="221"/>
    <x v="1"/>
    <m/>
    <n v="41005.94"/>
    <m/>
    <m/>
    <m/>
    <m/>
    <x v="0"/>
    <m/>
    <x v="0"/>
    <m/>
    <x v="0"/>
    <m/>
    <m/>
    <m/>
    <m/>
    <m/>
    <m/>
    <m/>
    <n v="41005.94"/>
    <n v="0"/>
    <s v=""/>
  </r>
  <r>
    <d v="2026-07-17T00:00:00"/>
    <s v="2000.14.01"/>
    <s v="SERVICIO DE TRANSPORTE"/>
    <x v="74"/>
    <s v="ODS"/>
    <s v="BA"/>
    <n v="38"/>
    <x v="222"/>
    <x v="0"/>
    <s v="100% CON ODS"/>
    <n v="1452"/>
    <m/>
    <n v="1452"/>
    <m/>
    <m/>
    <x v="0"/>
    <m/>
    <x v="0"/>
    <m/>
    <x v="0"/>
    <m/>
    <m/>
    <m/>
    <m/>
    <m/>
    <m/>
    <m/>
    <n v="0"/>
    <n v="1452"/>
    <s v="CERRADA"/>
  </r>
  <r>
    <d v="2026-08-04T00:00:00"/>
    <s v="2000.06.04"/>
    <s v="SUMINISTRO DE SACOS DE ASERRIN PARA SINCO D BNS"/>
    <x v="32"/>
    <s v="ODC"/>
    <s v="BA"/>
    <n v="39"/>
    <x v="223"/>
    <x v="0"/>
    <m/>
    <n v="315"/>
    <d v="2026-08-21T00:00:00"/>
    <n v="315"/>
    <m/>
    <m/>
    <x v="0"/>
    <m/>
    <x v="0"/>
    <m/>
    <x v="0"/>
    <m/>
    <m/>
    <m/>
    <m/>
    <m/>
    <m/>
    <m/>
    <n v="0"/>
    <n v="315"/>
    <s v="CERRADA"/>
  </r>
  <r>
    <d v="2026-07-21T00:00:00"/>
    <s v="200.01.01 ACTIVACION DE SOFTWARE ESPECIALIZADO CCS"/>
    <s v="SERVICIO INTEGRAL DE GESTION DE PROVEEDORES Y CONTRATISTAS"/>
    <x v="59"/>
    <s v="ODS"/>
    <s v="BA"/>
    <n v="39"/>
    <x v="224"/>
    <x v="1"/>
    <m/>
    <n v="4543.59"/>
    <m/>
    <m/>
    <m/>
    <m/>
    <x v="0"/>
    <m/>
    <x v="0"/>
    <m/>
    <x v="0"/>
    <m/>
    <m/>
    <m/>
    <m/>
    <m/>
    <m/>
    <m/>
    <n v="4543.59"/>
    <n v="0"/>
    <s v=""/>
  </r>
  <r>
    <d v="2026-07-24T00:00:00"/>
    <s v="400.01.04 - 400.01.06"/>
    <s v="SUMINISTRO DE  DETECTORES MULTIGAS PORTATILES HONEYWELL BNS-AP"/>
    <x v="6"/>
    <s v="ODC"/>
    <s v="BA"/>
    <n v="40"/>
    <x v="225"/>
    <x v="0"/>
    <m/>
    <n v="16650"/>
    <m/>
    <m/>
    <m/>
    <m/>
    <x v="0"/>
    <m/>
    <x v="0"/>
    <m/>
    <x v="0"/>
    <m/>
    <m/>
    <m/>
    <m/>
    <m/>
    <m/>
    <m/>
    <n v="16650"/>
    <n v="0"/>
    <s v=""/>
  </r>
  <r>
    <d v="2026-07-21T00:00:00"/>
    <s v="2000.06.05 SERVICIO DE AUDITORÍA AMBIENTAL BNS"/>
    <s v="SERVICIO DE GESTION PARA LA RENOVACION DE PROVIDENCIA DE AUTORIZACION DE AFECTACION DE RECURSOS NATURALES (AARN) PARA EL AREA DE BIOTRATAMIENTO SINCO D"/>
    <x v="82"/>
    <s v="ODS"/>
    <s v="BA"/>
    <n v="40"/>
    <x v="226"/>
    <x v="1"/>
    <s v="50% ANTICIPO Y 50% A 30 DIAS POSTERIOR A VALUACIONES"/>
    <n v="20215"/>
    <d v="2026-08-20T00:00:00"/>
    <n v="10107.5"/>
    <m/>
    <m/>
    <x v="0"/>
    <m/>
    <x v="0"/>
    <m/>
    <x v="0"/>
    <m/>
    <m/>
    <m/>
    <m/>
    <m/>
    <m/>
    <m/>
    <n v="10107.5"/>
    <n v="10107.5"/>
    <s v=""/>
  </r>
  <r>
    <d v="2026-07-27T00:00:00"/>
    <s v="2000.11.02"/>
    <s v="SUMINISTRO DE ACEITE DIELECTRICO PARA MANTENIMIENTO DE LOS TRANSFORMADORES BNS-AP"/>
    <x v="42"/>
    <s v="ODC"/>
    <s v="BA"/>
    <n v="41"/>
    <x v="227"/>
    <x v="0"/>
    <s v="100% A 30 DIAS POSTERIOR A LAS VALUACIONES"/>
    <n v="9650"/>
    <d v="2026-10-19T00:00:00"/>
    <n v="9650"/>
    <m/>
    <m/>
    <x v="0"/>
    <m/>
    <x v="0"/>
    <m/>
    <x v="0"/>
    <m/>
    <m/>
    <m/>
    <m/>
    <m/>
    <m/>
    <m/>
    <n v="0"/>
    <n v="9650"/>
    <s v="CERRADA"/>
  </r>
  <r>
    <d v="2026-07-22T00:00:00"/>
    <s v=" 2000.15.01"/>
    <s v="SUMINISTRO DE CUADRILLA DE SERVICIO TÉCNICO ESPECIALIZADO PARA ACTIVIDADES DE MANTENIMIENTO PREVENTIVO, CORRECTIVO Y MONITOREO DE LOS EQUIPOS DE SUPERFICIE DIVISION APURE II"/>
    <x v="54"/>
    <s v="ODS"/>
    <s v="AP"/>
    <n v="41"/>
    <x v="228"/>
    <x v="1"/>
    <m/>
    <n v="112734"/>
    <d v="2026-08-20T00:00:00"/>
    <n v="48851.4"/>
    <d v="2026-10-19T00:00:00"/>
    <n v="38830.6"/>
    <x v="0"/>
    <m/>
    <x v="0"/>
    <m/>
    <x v="0"/>
    <m/>
    <m/>
    <m/>
    <m/>
    <m/>
    <m/>
    <m/>
    <n v="25052"/>
    <n v="87682"/>
    <s v=""/>
  </r>
  <r>
    <d v="2026-08-12T00:00:00"/>
    <s v="4000.01.06"/>
    <s v="SUMINISTRO DE BOTIQUIN PRIMEROS AUXILIOS PORTATILES BNS-AP"/>
    <x v="64"/>
    <s v="ODC"/>
    <s v="AB"/>
    <n v="42"/>
    <x v="229"/>
    <x v="0"/>
    <s v="100% CONTRA ENTREGA"/>
    <n v="740"/>
    <d v="2026-10-16T00:00:00"/>
    <n v="740"/>
    <m/>
    <m/>
    <x v="0"/>
    <m/>
    <x v="0"/>
    <m/>
    <x v="0"/>
    <m/>
    <m/>
    <m/>
    <m/>
    <m/>
    <m/>
    <m/>
    <n v="0"/>
    <n v="740"/>
    <s v="CERRADA"/>
  </r>
  <r>
    <d v="2026-07-22T00:00:00"/>
    <s v="2000.09.05 SERVICIO DE INSTALACION Y DESINTALACION DE EQUIPOS BES AP"/>
    <s v="RENTA DE HERRAMIENTAS PARA LIMPIEZA DE POZOS WBCO II, APURE."/>
    <x v="30"/>
    <s v="ODS"/>
    <s v="AP"/>
    <n v="42"/>
    <x v="230"/>
    <x v="1"/>
    <m/>
    <n v="161651.98"/>
    <d v="2026-10-16T00:00:00"/>
    <n v="40011.6"/>
    <m/>
    <m/>
    <x v="0"/>
    <m/>
    <x v="0"/>
    <m/>
    <x v="0"/>
    <m/>
    <m/>
    <m/>
    <m/>
    <m/>
    <m/>
    <m/>
    <n v="121640.38"/>
    <n v="40011.6"/>
    <s v=""/>
  </r>
  <r>
    <d v="2026-07-31T00:00:00"/>
    <s v="2000.11.02"/>
    <s v="SUMINISTRO DE FILTROS PARA EL MANTENIMIENTO DE LOS MOTOGENERADORES CATERPILLAR DE LA E/F VICTORIA POLIGONAL COLVEN - APUR"/>
    <x v="31"/>
    <s v="ODC"/>
    <s v="AP"/>
    <n v="43"/>
    <x v="231"/>
    <x v="0"/>
    <s v="100% PAGO A 30 DIAS LUEGO DE LA ENTREGA"/>
    <n v="2616.41"/>
    <d v="2026-10-21T00:00:00"/>
    <n v="2616.41"/>
    <m/>
    <m/>
    <x v="0"/>
    <m/>
    <x v="0"/>
    <m/>
    <x v="0"/>
    <m/>
    <m/>
    <m/>
    <m/>
    <m/>
    <m/>
    <m/>
    <n v="0"/>
    <n v="2616.41"/>
    <s v="CERRADA"/>
  </r>
  <r>
    <d v="2026-07-28T00:00:00"/>
    <s v="2000.06.05 SERVICIO DE AUDITORÍA AMBIENTAL BNS /  2000.13.05 SERVICIO DE AUDITORÍA AMBIENTAL AP"/>
    <s v="SERVICIO DE GESTION PARA LA ELABORACION DEL PLAN DE MANEJO AMBIENTAL PARA LA POLIGONAL BARINAS Y APURE"/>
    <x v="82"/>
    <s v="ODS"/>
    <s v="BA"/>
    <n v="43"/>
    <x v="232"/>
    <x v="1"/>
    <s v="50% ANTICIPO   50% A 30 DIAS POSTERIOR A PRESENTACION DE VALUACIONES"/>
    <n v="15336"/>
    <d v="2026-08-20T00:00:00"/>
    <n v="7668"/>
    <m/>
    <m/>
    <x v="0"/>
    <m/>
    <x v="0"/>
    <m/>
    <x v="0"/>
    <m/>
    <m/>
    <m/>
    <m/>
    <m/>
    <m/>
    <m/>
    <n v="7668"/>
    <n v="7668"/>
    <s v=""/>
  </r>
  <r>
    <d v="2026-07-29T00:00:00"/>
    <s v="4000,01,05/06"/>
    <s v="SUMINISTRO DE EQUIPOS PORTATILES CONTRA INCENDIO PARA LAS AREAS OPERACIONALES BARINAS-APURE"/>
    <x v="64"/>
    <s v="ODC"/>
    <s v="AB"/>
    <n v="44"/>
    <x v="233"/>
    <x v="1"/>
    <s v="ANTICIPO"/>
    <n v="31900"/>
    <m/>
    <m/>
    <m/>
    <m/>
    <x v="0"/>
    <m/>
    <x v="0"/>
    <m/>
    <x v="0"/>
    <m/>
    <m/>
    <m/>
    <m/>
    <m/>
    <m/>
    <m/>
    <n v="31900"/>
    <n v="0"/>
    <s v=""/>
  </r>
  <r>
    <d v="2026-07-30T00:00:00"/>
    <s v="2000.15.02 MTTO. AREA OP. BNS"/>
    <s v="SERVICIO DE ALQUILER DE GENERADOR ELECTRICO BARINAS"/>
    <x v="83"/>
    <s v="ODS"/>
    <s v="BA"/>
    <n v="44"/>
    <x v="234"/>
    <x v="0"/>
    <s v="100% A 30 DIAS POSTERIOR A LAS VALUACIONES"/>
    <n v="27000"/>
    <m/>
    <m/>
    <m/>
    <m/>
    <x v="0"/>
    <m/>
    <x v="0"/>
    <m/>
    <x v="0"/>
    <m/>
    <m/>
    <m/>
    <m/>
    <m/>
    <m/>
    <m/>
    <n v="27000"/>
    <n v="0"/>
    <s v=""/>
  </r>
  <r>
    <s v="4-ago"/>
    <s v="4000.01.06"/>
    <s v="SUMINISTRO DE LINTERNAS ANTIEXPLOSION CERTIFICADAS: MANUAL Y DE CASCO PARA OPERADORES BNS-AP"/>
    <x v="84"/>
    <s v="ODC"/>
    <s v="AB"/>
    <n v="45"/>
    <x v="235"/>
    <x v="1"/>
    <s v="5DIAS HABILES POSTERIOR AL ANTICIPO"/>
    <s v="8.090,00"/>
    <m/>
    <m/>
    <m/>
    <m/>
    <x v="0"/>
    <m/>
    <x v="0"/>
    <m/>
    <x v="0"/>
    <m/>
    <m/>
    <m/>
    <m/>
    <m/>
    <m/>
    <m/>
    <n v="8090"/>
    <n v="0"/>
    <s v=""/>
  </r>
  <r>
    <d v="2026-07-31T00:00:00"/>
    <s v="600.01.07"/>
    <s v="SERVICIO PARA EL MANTENIMIENTO PREVENTIVO DE BUSES MODELO YUTONG PARA TRANSPORTE DE PERSONAL APURE"/>
    <x v="85"/>
    <s v="ODS"/>
    <s v="AP"/>
    <n v="46"/>
    <x v="236"/>
    <x v="0"/>
    <s v="31JUL SERVICIO EJECUTADO Y PAGADO AL 100%"/>
    <n v="1732"/>
    <m/>
    <m/>
    <m/>
    <m/>
    <x v="0"/>
    <m/>
    <x v="0"/>
    <m/>
    <x v="0"/>
    <m/>
    <m/>
    <m/>
    <m/>
    <m/>
    <m/>
    <m/>
    <n v="1732"/>
    <n v="0"/>
    <s v=""/>
  </r>
  <r>
    <d v="2026-08-27T00:00:00"/>
    <s v="2000.06.09"/>
    <s v="SUMINISTRO DE KCL PARA CONTROL DE POZOS BARINAS"/>
    <x v="71"/>
    <s v="ODC"/>
    <s v="BA"/>
    <n v="46"/>
    <x v="237"/>
    <x v="1"/>
    <m/>
    <n v="44050.03"/>
    <m/>
    <m/>
    <m/>
    <m/>
    <x v="0"/>
    <m/>
    <x v="0"/>
    <m/>
    <x v="0"/>
    <m/>
    <m/>
    <m/>
    <m/>
    <m/>
    <m/>
    <m/>
    <n v="44050.03"/>
    <n v="0"/>
    <s v=""/>
  </r>
  <r>
    <d v="2026-08-13T00:00:00"/>
    <s v="2000.12.05"/>
    <s v="VISITA TECNICA ESPECIALIZADA DIAGNOSTICO COMPRESORES"/>
    <x v="86"/>
    <s v="ODS"/>
    <s v="AP"/>
    <n v="47"/>
    <x v="238"/>
    <x v="0"/>
    <s v="100% ANTICIPO A BCV"/>
    <n v="1000"/>
    <m/>
    <m/>
    <m/>
    <m/>
    <x v="0"/>
    <m/>
    <x v="0"/>
    <m/>
    <x v="0"/>
    <m/>
    <m/>
    <m/>
    <m/>
    <m/>
    <m/>
    <m/>
    <n v="1000"/>
    <n v="0"/>
    <s v=""/>
  </r>
  <r>
    <d v="2026-07-31T00:00:00"/>
    <s v="2000,11,02"/>
    <s v="SUMINISTRO DE LUBRICANTES PARA EL MANTENIMIENTO DE LOS MOTOGENERADORES CATERPILLAR DE LA E/F LA VICTORIA POLIGONAL COLVEN - APURE"/>
    <x v="22"/>
    <s v="ODC"/>
    <s v="AP"/>
    <n v="47"/>
    <x v="239"/>
    <x v="1"/>
    <m/>
    <n v="21421.53"/>
    <m/>
    <m/>
    <m/>
    <m/>
    <x v="0"/>
    <m/>
    <x v="0"/>
    <m/>
    <x v="0"/>
    <m/>
    <m/>
    <m/>
    <m/>
    <m/>
    <m/>
    <m/>
    <n v="21421.53"/>
    <n v="0"/>
    <s v=""/>
  </r>
  <r>
    <d v="2026-08-17T00:00:00"/>
    <s v="600.01.07"/>
    <s v="SUMINISTRO DE BATERIAS GRUPO 31, 1250AMP, MARCA DUNCAN PARA CAMIONES DE EMERGENCIA APURE"/>
    <x v="6"/>
    <s v="ODC"/>
    <s v="AP"/>
    <n v="48"/>
    <x v="240"/>
    <x v="0"/>
    <s v=" 100% del pago a treinta (30) días calendarios siguientes a la firma de la ODC y posterior a la entrega conforme del material al personal COLVEN. El"/>
    <n v="1400"/>
    <m/>
    <m/>
    <m/>
    <m/>
    <x v="0"/>
    <m/>
    <x v="0"/>
    <m/>
    <x v="0"/>
    <m/>
    <m/>
    <m/>
    <m/>
    <m/>
    <m/>
    <m/>
    <n v="1400"/>
    <n v="0"/>
    <s v=""/>
  </r>
  <r>
    <d v="2026-09-18T00:00:00"/>
    <s v="2000.13.05"/>
    <s v="SERVICIO DE CARACTERIZACION AMBIENTAL DE EFLUENTES LIQUIDOS, SUELOS Y EMISIONES ATMOSFERICAS EN LOS CAMPOS GUAFITA Y LA VICTORIA"/>
    <x v="87"/>
    <s v="ODS"/>
    <s v="AP"/>
    <n v="48"/>
    <x v="241"/>
    <x v="1"/>
    <s v="50% LUEGO DE RECIBIR EL 50% ANTICIPO"/>
    <n v="69660"/>
    <d v="2026-10-22T00:00:00"/>
    <n v="1400"/>
    <m/>
    <m/>
    <x v="0"/>
    <m/>
    <x v="0"/>
    <m/>
    <x v="0"/>
    <m/>
    <m/>
    <m/>
    <m/>
    <m/>
    <m/>
    <m/>
    <n v="68260"/>
    <n v="1400"/>
    <s v=""/>
  </r>
  <r>
    <d v="2026-08-06T00:00:00"/>
    <s v="2000,12,05"/>
    <s v="MANTENIMIENTO Y REPARACION DE VALVULAS DE CONTROL EN ESTAC.LA VICTORIA"/>
    <x v="81"/>
    <s v="ODS"/>
    <s v="AP"/>
    <n v="49"/>
    <x v="242"/>
    <x v="1"/>
    <s v="50% ANTICIPO 50% A 30 DIAS ENTREGA"/>
    <n v="29688"/>
    <d v="2026-08-20T00:00:00"/>
    <n v="14844"/>
    <m/>
    <m/>
    <x v="0"/>
    <m/>
    <x v="0"/>
    <m/>
    <x v="0"/>
    <m/>
    <m/>
    <m/>
    <m/>
    <m/>
    <m/>
    <m/>
    <n v="14844"/>
    <n v="14844"/>
    <s v=""/>
  </r>
  <r>
    <d v="2026-08-14T00:00:00"/>
    <s v="600,01,07"/>
    <s v="SERVICIO PARA EL MANTENIMIENTO PREVENTIVO DE BUSES MODELO YUTONG PARA TRANSPORTE DE PERSONAL APURE"/>
    <x v="85"/>
    <s v="ODS"/>
    <s v="AP"/>
    <n v="50"/>
    <x v="243"/>
    <x v="1"/>
    <s v="15% ANTICIPO 85% PAGO A 30 DIAS POSTERIOR AL SERVICIO"/>
    <n v="17719"/>
    <d v="2026-08-26T00:00:00"/>
    <n v="2657.85"/>
    <d v="2026-10-22T00:00:00"/>
    <n v="1172"/>
    <x v="0"/>
    <m/>
    <x v="0"/>
    <m/>
    <x v="0"/>
    <m/>
    <m/>
    <m/>
    <m/>
    <m/>
    <m/>
    <m/>
    <n v="13889.15"/>
    <n v="3829.85"/>
    <s v=""/>
  </r>
  <r>
    <d v="2026-10-02T00:00:00"/>
    <s v="2000.11.02"/>
    <s v="SUMINISTRO DE INYECTORES CATERPILLAR 392-0217 PARA GENERACIÓN APURE"/>
    <x v="88"/>
    <s v="ODC"/>
    <s v="AP"/>
    <n v="50"/>
    <x v="244"/>
    <x v="1"/>
    <s v="10 DIAS HABILES POSTERIOR A LA ODC"/>
    <n v="80000"/>
    <m/>
    <m/>
    <m/>
    <m/>
    <x v="0"/>
    <m/>
    <x v="0"/>
    <m/>
    <x v="0"/>
    <m/>
    <m/>
    <m/>
    <m/>
    <m/>
    <m/>
    <m/>
    <n v="80000"/>
    <n v="0"/>
    <s v=""/>
  </r>
  <r>
    <d v="2026-08-11T00:00:00"/>
    <s v="2000,12,05"/>
    <s v="CALIBRACIÓN DE TANQUE CILÍNDRICO VERTICAL DE ALMACENAMIENTO DE CRUDO (TK-40-2)"/>
    <x v="51"/>
    <s v="ODS"/>
    <s v="AP"/>
    <n v="51"/>
    <x v="245"/>
    <x v="1"/>
    <s v="6 DIAS LUEGO DE APROB. DE ODS"/>
    <n v="8120"/>
    <d v="2026-10-16T00:00:00"/>
    <n v="5250"/>
    <m/>
    <m/>
    <x v="0"/>
    <m/>
    <x v="0"/>
    <m/>
    <x v="0"/>
    <m/>
    <m/>
    <m/>
    <m/>
    <m/>
    <m/>
    <m/>
    <n v="2870"/>
    <n v="5250"/>
    <s v=""/>
  </r>
  <r>
    <d v="2026-08-31T00:00:00"/>
    <s v="2000.08.02"/>
    <s v="SUMINISTRO DE SISTEMA BES PARA LOS POZOS GF-074 Y GF-123H, APURE"/>
    <x v="8"/>
    <s v="ODC"/>
    <s v="AP"/>
    <n v="51"/>
    <x v="246"/>
    <x v="0"/>
    <s v="70% con ODC y 30% pago a sesenta (60) días calendarios luego de la entrega en campo"/>
    <n v="371703.84"/>
    <d v="2026-09-07T00:00:00"/>
    <n v="124547.8671626039"/>
    <d v="2026-09-07T00:00:00"/>
    <n v="58441.69151476028"/>
    <x v="16"/>
    <n v="95796.66"/>
    <x v="0"/>
    <m/>
    <x v="0"/>
    <m/>
    <m/>
    <m/>
    <m/>
    <m/>
    <m/>
    <m/>
    <n v="92917.62132263585"/>
    <n v="278786.2186773642"/>
    <s v=""/>
  </r>
  <r>
    <d v="2026-08-14T00:00:00"/>
    <s v="2000.14.03 "/>
    <s v="SERVICIO DE MECANIZADO E INSTALACION DE RODAMIENTOS DEL BALANCIN "/>
    <x v="26"/>
    <s v="ODS"/>
    <s v="BA"/>
    <n v="52"/>
    <x v="247"/>
    <x v="0"/>
    <s v="100 % TRABAJO CULMINADO"/>
    <n v="728.5"/>
    <d v="2026-08-20T00:00:00"/>
    <n v="728.5"/>
    <m/>
    <m/>
    <x v="0"/>
    <m/>
    <x v="0"/>
    <m/>
    <x v="0"/>
    <m/>
    <m/>
    <m/>
    <m/>
    <m/>
    <m/>
    <m/>
    <n v="0"/>
    <n v="728.5"/>
    <s v="CERRADA"/>
  </r>
  <r>
    <m/>
    <m/>
    <s v="SUMINISTRO DE ACCESORIOS PARA SISTEMAS DE LEVANTAMIENTO CON BOMBAS ESP (MID JOINTS, OVERCOUPLING´S, PROTECTORES DE CABLE MLE, OTROS)"/>
    <x v="89"/>
    <s v="ODC"/>
    <s v="AB"/>
    <n v="52"/>
    <x v="248"/>
    <x v="1"/>
    <s v="SUSPENDIDA"/>
    <n v="200907"/>
    <m/>
    <m/>
    <m/>
    <m/>
    <x v="0"/>
    <m/>
    <x v="0"/>
    <m/>
    <x v="0"/>
    <m/>
    <m/>
    <m/>
    <m/>
    <m/>
    <m/>
    <m/>
    <n v="200907"/>
    <n v="0"/>
    <s v=""/>
  </r>
  <r>
    <d v="2026-09-01T00:00:00"/>
    <s v="2000.14.01"/>
    <s v="SUMINISTRO DE HERRAMIENTAS MENORES PARA CAMPOS GUAFITA, LVT Y SINCO D"/>
    <x v="54"/>
    <s v="ODC"/>
    <s v="AP"/>
    <n v="53"/>
    <x v="249"/>
    <x v="1"/>
    <s v="100% a treinta (30) días netos posterior a la entrega en campo"/>
    <n v="11558"/>
    <m/>
    <m/>
    <m/>
    <m/>
    <x v="0"/>
    <m/>
    <x v="0"/>
    <m/>
    <x v="0"/>
    <m/>
    <m/>
    <m/>
    <m/>
    <m/>
    <m/>
    <m/>
    <n v="11558"/>
    <n v="0"/>
    <s v=""/>
  </r>
  <r>
    <d v="2026-08-19T00:00:00"/>
    <s v="700.01.05"/>
    <s v="ARRENDAMIENTO "/>
    <x v="90"/>
    <s v="ODS"/>
    <s v="AP"/>
    <n v="54"/>
    <x v="250"/>
    <x v="1"/>
    <s v="PAGOS LOS 7 PRIMEROS DIAS DEL MES"/>
    <n v="240000"/>
    <m/>
    <m/>
    <m/>
    <m/>
    <x v="0"/>
    <m/>
    <x v="0"/>
    <m/>
    <x v="0"/>
    <m/>
    <m/>
    <m/>
    <m/>
    <m/>
    <m/>
    <m/>
    <n v="240000"/>
    <n v="0"/>
    <s v=""/>
  </r>
  <r>
    <d v="2026-08-27T00:00:00"/>
    <s v="2000.09.01"/>
    <s v="SUMINISTRO DE ESPÁRRAGOS Y TUERCAS PARA POZO GF-166, APURE"/>
    <x v="91"/>
    <s v="ODC"/>
    <s v="AP"/>
    <n v="54"/>
    <x v="251"/>
    <x v="1"/>
    <s v="100% ANTICIPO 39% DESCUENTO EN DIVISAS- 20% DESC.EN BS."/>
    <n v="1285.31"/>
    <d v="2026-10-16T00:00:00"/>
    <n v="1285.31"/>
    <m/>
    <m/>
    <x v="0"/>
    <m/>
    <x v="0"/>
    <m/>
    <x v="0"/>
    <m/>
    <m/>
    <m/>
    <m/>
    <m/>
    <m/>
    <m/>
    <n v="0"/>
    <n v="1285.31"/>
    <s v="CERRADA"/>
  </r>
  <r>
    <d v="2026-08-14T00:00:00"/>
    <s v="4000,0,06"/>
    <s v="SERVICIO DE FORMACION Y CERTIFICACION DE OPERADORES DE CARGA -APURE"/>
    <x v="92"/>
    <s v="ODS"/>
    <s v="AP"/>
    <n v="55"/>
    <x v="252"/>
    <x v="0"/>
    <s v="100% ANTICIPO"/>
    <n v="1250"/>
    <d v="2026-08-26T00:00:00"/>
    <n v="1250"/>
    <m/>
    <m/>
    <x v="0"/>
    <m/>
    <x v="0"/>
    <m/>
    <x v="0"/>
    <m/>
    <m/>
    <m/>
    <m/>
    <m/>
    <m/>
    <m/>
    <n v="0"/>
    <n v="1250"/>
    <s v="CERRADA"/>
  </r>
  <r>
    <d v="2026-08-24T00:00:00"/>
    <s v="2000.06.05"/>
    <s v="GESTION AMBIENTAL AREA LA VICTORIA APURE"/>
    <x v="82"/>
    <s v="ODS"/>
    <s v="AP"/>
    <n v="56"/>
    <x v="253"/>
    <x v="1"/>
    <s v="50% ANTICIPO Y 50% A 30 DIAS POSTERIOR   "/>
    <n v="9891"/>
    <m/>
    <m/>
    <m/>
    <m/>
    <x v="0"/>
    <m/>
    <x v="0"/>
    <m/>
    <x v="0"/>
    <m/>
    <m/>
    <m/>
    <m/>
    <m/>
    <m/>
    <m/>
    <n v="9891"/>
    <n v="0"/>
    <s v=""/>
  </r>
  <r>
    <d v="2026-08-26T00:00:00"/>
    <s v="1000.01.02"/>
    <s v="SUMINISTRO DE SISTEMA BES PARA EL POZO SIN-054, BARINAS"/>
    <x v="1"/>
    <s v="ODC"/>
    <s v="BA"/>
    <n v="56"/>
    <x v="254"/>
    <x v="0"/>
    <s v="30% CON ODC Y 70% PAGO A 60 DIAS"/>
    <n v="126739.9"/>
    <d v="2026-08-28T00:00:00"/>
    <n v="38021.98"/>
    <d v="2026-08-26T00:00:00"/>
    <n v="88717.92"/>
    <x v="0"/>
    <m/>
    <x v="0"/>
    <m/>
    <x v="0"/>
    <m/>
    <m/>
    <m/>
    <m/>
    <m/>
    <m/>
    <m/>
    <n v="0"/>
    <n v="126739.9"/>
    <s v="CERRADA"/>
  </r>
  <r>
    <d v="2026-08-18T00:00:00"/>
    <s v="2000.14.03"/>
    <s v="SERVICIO DE INSPECCION Y REPARACION DE PIEZAS PARA BALANCIN BNS"/>
    <x v="26"/>
    <s v="ODS"/>
    <s v="BA"/>
    <n v="57"/>
    <x v="255"/>
    <x v="0"/>
    <s v=" 100% A 30 DIAS POSTERIOR AL SERVICIO"/>
    <n v="4240.5"/>
    <d v="2026-10-22T00:00:00"/>
    <n v="800"/>
    <m/>
    <m/>
    <x v="0"/>
    <m/>
    <x v="0"/>
    <m/>
    <x v="0"/>
    <m/>
    <m/>
    <m/>
    <m/>
    <m/>
    <m/>
    <m/>
    <n v="3440.5"/>
    <n v="800"/>
    <s v=""/>
  </r>
  <r>
    <d v="2026-08-26T00:00:00"/>
    <m/>
    <s v="SUMINISTRO DE SISTEMA BES PARA EL POZO GF-095, APURE"/>
    <x v="1"/>
    <s v="ODC"/>
    <s v="AP"/>
    <n v="57"/>
    <x v="256"/>
    <x v="1"/>
    <s v="30% CON ODC Y 70% PAGO A 60 DIAS"/>
    <n v="0"/>
    <m/>
    <m/>
    <m/>
    <m/>
    <x v="0"/>
    <m/>
    <x v="0"/>
    <m/>
    <x v="0"/>
    <m/>
    <m/>
    <m/>
    <m/>
    <m/>
    <m/>
    <m/>
    <n v="0"/>
    <n v="0"/>
    <s v="CERRADA"/>
  </r>
  <r>
    <d v="2026-08-25T00:00:00"/>
    <s v="2000.12.05"/>
    <s v="LUBRICADO MARCA ATLAS COPCO MODELO GA5FF."/>
    <x v="86"/>
    <s v="ODC"/>
    <s v="AP"/>
    <n v="58"/>
    <x v="257"/>
    <x v="1"/>
    <s v="100% CON ODC"/>
    <n v="27000"/>
    <d v="2026-10-07T00:00:00"/>
    <n v="27000"/>
    <m/>
    <m/>
    <x v="0"/>
    <m/>
    <x v="0"/>
    <m/>
    <x v="0"/>
    <m/>
    <m/>
    <m/>
    <m/>
    <m/>
    <m/>
    <m/>
    <n v="0"/>
    <n v="27000"/>
    <s v="CERRADA"/>
  </r>
  <r>
    <d v="2026-09-16T00:00:00"/>
    <m/>
    <s v="SERVICIO DE CONTRUCCION Y REPARACION DE CERCA CONVENCIONAL DE ALAMBRE, BARINAS"/>
    <x v="55"/>
    <s v="ODS"/>
    <s v="AP"/>
    <n v="58"/>
    <x v="258"/>
    <x v="1"/>
    <m/>
    <n v="45900"/>
    <m/>
    <m/>
    <m/>
    <m/>
    <x v="0"/>
    <m/>
    <x v="0"/>
    <m/>
    <x v="0"/>
    <m/>
    <m/>
    <m/>
    <m/>
    <m/>
    <m/>
    <m/>
    <n v="45900"/>
    <n v="0"/>
    <s v=""/>
  </r>
  <r>
    <d v="2026-08-24T00:00:00"/>
    <s v="2000.15.02"/>
    <s v="RELACION DE SERVICIOS ALQUILER DE EQUIPOS VARIOS EJECUTADOS CLOMA"/>
    <x v="56"/>
    <s v="ODS"/>
    <s v="BA"/>
    <n v="59"/>
    <x v="259"/>
    <x v="0"/>
    <s v="100% A 30 DIAS POSTERIOR A LA ACTIVIDAD"/>
    <n v="13449.56"/>
    <m/>
    <m/>
    <m/>
    <m/>
    <x v="0"/>
    <m/>
    <x v="0"/>
    <m/>
    <x v="0"/>
    <m/>
    <m/>
    <m/>
    <m/>
    <m/>
    <m/>
    <m/>
    <n v="13449.56"/>
    <n v="0"/>
    <s v=""/>
  </r>
  <r>
    <d v="2026-08-31T00:00:00"/>
    <s v="2000.1.02"/>
    <s v="GRASA INDUSTRIAL INCALIT EP2 , NLGI 2, multipropósito, para "/>
    <x v="22"/>
    <s v="ODC"/>
    <s v="BA"/>
    <n v="59"/>
    <x v="260"/>
    <x v="0"/>
    <s v="100% PAGO A 30 DIAS LUEGO DE LA ENTREGA"/>
    <n v="4136"/>
    <m/>
    <m/>
    <m/>
    <m/>
    <x v="0"/>
    <m/>
    <x v="0"/>
    <m/>
    <x v="0"/>
    <m/>
    <m/>
    <m/>
    <m/>
    <m/>
    <m/>
    <m/>
    <n v="4136"/>
    <n v="0"/>
    <s v=""/>
  </r>
  <r>
    <d v="2026-08-21T00:00:00"/>
    <s v="500.01.03"/>
    <s v="SERVICIO DE CONSULTORIA FUNCIONAL ODOO (FASE I)"/>
    <x v="93"/>
    <s v="ODS"/>
    <s v="AB"/>
    <n v="60"/>
    <x v="261"/>
    <x v="1"/>
    <s v="50% ANTICIPO"/>
    <n v="900"/>
    <d v="2026-09-22T00:00:00"/>
    <n v="450"/>
    <m/>
    <m/>
    <x v="0"/>
    <m/>
    <x v="0"/>
    <m/>
    <x v="0"/>
    <m/>
    <m/>
    <m/>
    <m/>
    <m/>
    <m/>
    <m/>
    <n v="450"/>
    <n v="450"/>
    <s v=""/>
  </r>
  <r>
    <d v="2026-08-26T00:00:00"/>
    <s v="400.01.04"/>
    <s v="SUMINISTRO DE EPP BOTAS DE SEGURIDAD BNS"/>
    <x v="3"/>
    <s v="ODC"/>
    <s v="BA"/>
    <n v="61"/>
    <x v="262"/>
    <x v="1"/>
    <n v="1"/>
    <n v="240"/>
    <m/>
    <m/>
    <m/>
    <m/>
    <x v="0"/>
    <m/>
    <x v="0"/>
    <m/>
    <x v="0"/>
    <m/>
    <m/>
    <m/>
    <m/>
    <m/>
    <m/>
    <m/>
    <n v="240"/>
    <n v="0"/>
    <s v=""/>
  </r>
  <r>
    <d v="2026-09-18T00:00:00"/>
    <s v="2000.14.03"/>
    <s v="SERVICIO DE REPARACION PARA BOMBA GASO 1500 LOS TRILLIZOS Y BOMBA VERTICAL- MOTOR ELECTRICO TRIFASICO 25HP, BARINAS"/>
    <x v="94"/>
    <s v="ODS"/>
    <s v="BA"/>
    <n v="61"/>
    <x v="263"/>
    <x v="1"/>
    <s v="30% ANTICIPO"/>
    <n v="88949"/>
    <d v="2026-10-19T00:00:00"/>
    <n v="26684.7"/>
    <m/>
    <m/>
    <x v="0"/>
    <m/>
    <x v="0"/>
    <m/>
    <x v="0"/>
    <m/>
    <m/>
    <m/>
    <m/>
    <m/>
    <m/>
    <m/>
    <n v="62264.3"/>
    <n v="26684.7"/>
    <s v=""/>
  </r>
  <r>
    <d v="2026-09-01T00:00:00"/>
    <s v="2000.14.01"/>
    <s v="SERVICIO DE ALQUILER DE ANDAMIOS CERTIFICADOS, APURE&quot;"/>
    <x v="54"/>
    <s v="ODS"/>
    <s v="AP"/>
    <n v="62"/>
    <x v="264"/>
    <x v="0"/>
    <s v="100% pago a treinta (30) dias posterior a la ejecucion de las actividades en campo"/>
    <n v="20200"/>
    <d v="2026-10-19T00:00:00"/>
    <n v="16540"/>
    <m/>
    <m/>
    <x v="0"/>
    <m/>
    <x v="0"/>
    <m/>
    <x v="0"/>
    <m/>
    <m/>
    <m/>
    <m/>
    <m/>
    <m/>
    <m/>
    <n v="3660"/>
    <n v="16540"/>
    <s v=""/>
  </r>
  <r>
    <d v="2026-08-27T00:00:00"/>
    <s v="2000.11.02"/>
    <s v="Mantenimiento y Confiabilidad Electrica de los Campos AP"/>
    <x v="31"/>
    <s v="ODC"/>
    <s v="AP"/>
    <n v="62"/>
    <x v="265"/>
    <x v="0"/>
    <s v="SUMINISTRO DE FILTROS PARA EL MANTENIMIENTO DE LOS MOTOGENERADORES CATERPILLAR DE LA E/F VICTORIA POLIGONAL COLVEN - APURE"/>
    <n v="1120.56"/>
    <d v="2026-10-21T00:00:00"/>
    <n v="1120.56"/>
    <m/>
    <m/>
    <x v="0"/>
    <m/>
    <x v="0"/>
    <m/>
    <x v="0"/>
    <m/>
    <m/>
    <m/>
    <m/>
    <m/>
    <m/>
    <m/>
    <n v="0"/>
    <n v="1120.56"/>
    <s v="CERRADA"/>
  </r>
  <r>
    <d v="2026-08-31T00:00:00"/>
    <s v="2000.09.06"/>
    <s v="SUMINISTRO DE VARILAS PARA SISTEMA DE BOMBEO MECANICO"/>
    <x v="95"/>
    <s v="ODC"/>
    <s v="AP"/>
    <n v="63"/>
    <x v="266"/>
    <x v="1"/>
    <s v="70% Anticipo y 30% del pago a treinta (30) días firma de ODC Y ENTREGA"/>
    <n v="138865"/>
    <m/>
    <m/>
    <m/>
    <m/>
    <x v="0"/>
    <m/>
    <x v="0"/>
    <m/>
    <x v="0"/>
    <m/>
    <m/>
    <m/>
    <m/>
    <m/>
    <m/>
    <m/>
    <n v="138865"/>
    <n v="0"/>
    <s v=""/>
  </r>
  <r>
    <d v="2026-09-02T00:00:00"/>
    <s v="2000.14.01"/>
    <s v="RELACION DE SERVICIOS VARIOS EJECUTADOS CON LA EMPRESA GAMONTY"/>
    <x v="2"/>
    <s v="ODS"/>
    <s v="AP"/>
    <n v="63"/>
    <x v="267"/>
    <x v="0"/>
    <m/>
    <n v="6418"/>
    <d v="2026-10-21T00:00:00"/>
    <n v="6418"/>
    <m/>
    <m/>
    <x v="0"/>
    <m/>
    <x v="0"/>
    <m/>
    <x v="0"/>
    <m/>
    <m/>
    <m/>
    <m/>
    <m/>
    <m/>
    <m/>
    <n v="0"/>
    <n v="6418"/>
    <s v="CERRADA"/>
  </r>
  <r>
    <s v="05/10/26"/>
    <s v="2000.08.02"/>
    <s v="ADQUISICION DE BES PARA POZOS GF-201, APURE"/>
    <x v="8"/>
    <s v="ODC"/>
    <s v="ODC"/>
    <n v="64"/>
    <x v="268"/>
    <x v="0"/>
    <s v="70% CONTRA ENTREGA - 30% A 60 DIASS"/>
    <n v="193550.96"/>
    <d v="2026-10-10T00:00:00"/>
    <n v="58065.29"/>
    <m/>
    <m/>
    <x v="0"/>
    <m/>
    <x v="0"/>
    <m/>
    <x v="0"/>
    <m/>
    <m/>
    <m/>
    <m/>
    <m/>
    <m/>
    <m/>
    <n v="135485.67"/>
    <n v="58065.29"/>
    <s v=""/>
  </r>
  <r>
    <d v="2026-09-04T00:00:00"/>
    <s v="2000.15.01"/>
    <s v="ACONDICIONAMIENTO DE AMBIENTES SANITARIOS AREA LABORATORIO Y OFICINAS EN LA ESTACION LA VICTORIA APURE&quot;"/>
    <x v="40"/>
    <s v="ODS"/>
    <s v="AP"/>
    <n v="65"/>
    <x v="269"/>
    <x v="0"/>
    <s v="100% del pago a treinta (30) días POSTERIOR A PRESENTA.VALUACIONES"/>
    <n v="133036.47"/>
    <m/>
    <m/>
    <m/>
    <m/>
    <x v="0"/>
    <m/>
    <x v="0"/>
    <m/>
    <x v="0"/>
    <m/>
    <m/>
    <m/>
    <m/>
    <m/>
    <m/>
    <m/>
    <n v="133036.47"/>
    <n v="0"/>
    <s v=""/>
  </r>
  <r>
    <d v="2026-09-04T00:00:00"/>
    <s v="2000.02.06 / 2000.09.06 "/>
    <s v="SUMINISTRO DE TRANSFORMADORES"/>
    <x v="49"/>
    <s v="ODC"/>
    <s v="AB"/>
    <n v="65"/>
    <x v="270"/>
    <x v="1"/>
    <s v="40 DIAS HABILES LUEGO DE ODC Y ANTICIPO CON ENTREGAS PARCIALES CADA 15 DIAS"/>
    <n v="76800"/>
    <d v="2026-10-16T00:00:00"/>
    <n v="38400"/>
    <m/>
    <m/>
    <x v="0"/>
    <m/>
    <x v="0"/>
    <m/>
    <x v="0"/>
    <m/>
    <m/>
    <m/>
    <m/>
    <m/>
    <m/>
    <m/>
    <n v="38400"/>
    <n v="38400"/>
    <s v=""/>
  </r>
  <r>
    <d v="2026-09-08T00:00:00"/>
    <s v="2000.14.01 "/>
    <s v="&quot;SERVICIO DE BRAZO ARTICULADO CERTIFICACO 15 TONELADAS PARA TRANSPORTE E IZAMIENTO EN CAMPOS GUAFITA Y LA VICTORIA APURE&quot;"/>
    <x v="54"/>
    <s v="ODS"/>
    <s v="AP"/>
    <n v="66"/>
    <x v="271"/>
    <x v="1"/>
    <s v="100% pago a treinta (30) dias posterior a la ejecucion de las actividades en campo"/>
    <n v="25500"/>
    <m/>
    <m/>
    <m/>
    <m/>
    <x v="0"/>
    <m/>
    <x v="0"/>
    <m/>
    <x v="0"/>
    <m/>
    <m/>
    <m/>
    <m/>
    <m/>
    <m/>
    <m/>
    <n v="25500"/>
    <n v="0"/>
    <s v=""/>
  </r>
  <r>
    <d v="2026-09-07T00:00:00"/>
    <s v="2000.05.04"/>
    <s v="SERVICIO PARA LA CARACTERIZACIÓN DE CRUDO-ANALISIS FISCALES BARINAS-APURE"/>
    <x v="77"/>
    <s v="ODS"/>
    <s v="AB"/>
    <n v="67"/>
    <x v="272"/>
    <x v="0"/>
    <m/>
    <n v="8043.21"/>
    <d v="2026-09-22T00:00:00"/>
    <n v="8043.21"/>
    <m/>
    <m/>
    <x v="0"/>
    <m/>
    <x v="0"/>
    <m/>
    <x v="0"/>
    <m/>
    <m/>
    <m/>
    <m/>
    <m/>
    <m/>
    <m/>
    <n v="0"/>
    <n v="8043.21"/>
    <s v="CERRADA"/>
  </r>
  <r>
    <d v="2026-09-08T00:00:00"/>
    <s v="2000.14.02"/>
    <s v="SUMINISTRO DE LAMINAS DE ACERO PARA REPARACION DE TANQUE TK40-2 LVT APURE&quot;"/>
    <x v="96"/>
    <s v="ODC"/>
    <s v="AP"/>
    <n v="67"/>
    <x v="273"/>
    <x v="0"/>
    <s v="100% Anticipo."/>
    <n v="16343.24"/>
    <m/>
    <n v="16300"/>
    <m/>
    <n v="43.24"/>
    <x v="0"/>
    <m/>
    <x v="0"/>
    <m/>
    <x v="0"/>
    <m/>
    <m/>
    <m/>
    <m/>
    <m/>
    <m/>
    <m/>
    <n v="0"/>
    <n v="16343.24"/>
    <s v="CERRADA"/>
  </r>
  <r>
    <d v="2026-08-27T00:00:00"/>
    <s v="2000.11.02"/>
    <s v="SUMINISTRO DE FILTROS PARA EL MANTENIMIENTO DE LOS MOTOGENERADORES CATERPILLAR DE LA E/F VICTORIA POLIGONAL COLVEN - APURE"/>
    <x v="31"/>
    <s v="ODC"/>
    <s v="AP"/>
    <n v="70"/>
    <x v="274"/>
    <x v="1"/>
    <m/>
    <n v="14139.24"/>
    <d v="2026-10-21T00:00:00"/>
    <n v="1923"/>
    <m/>
    <m/>
    <x v="0"/>
    <m/>
    <x v="0"/>
    <m/>
    <x v="0"/>
    <m/>
    <m/>
    <m/>
    <m/>
    <m/>
    <m/>
    <m/>
    <n v="12216.24"/>
    <n v="1923"/>
    <s v=""/>
  </r>
  <r>
    <d v="2026-10-01T00:00:00"/>
    <m/>
    <s v="SERVICIO DE REPARACION Y MANTENIMIENTO A MOTOGENERADOR CAT LA VICTORIA APURE"/>
    <x v="31"/>
    <s v="ODS"/>
    <s v="AP"/>
    <n v="70"/>
    <x v="275"/>
    <x v="1"/>
    <m/>
    <n v="28164.84"/>
    <d v="2026-10-21T00:00:00"/>
    <n v="14082.42"/>
    <m/>
    <m/>
    <x v="0"/>
    <m/>
    <x v="0"/>
    <m/>
    <x v="0"/>
    <m/>
    <m/>
    <m/>
    <m/>
    <m/>
    <m/>
    <m/>
    <n v="14082.42"/>
    <n v="14082.42"/>
    <s v=""/>
  </r>
  <r>
    <d v="2026-09-12T00:00:00"/>
    <s v="2000.14.02"/>
    <s v="SERVICIO PARA MANTENIMIENTO PREVENTIVO DE MOTOR ELECTRICO 90 KW, 480V, DEL POZO SIN100"/>
    <x v="49"/>
    <s v="ODS"/>
    <s v="BA"/>
    <n v="71"/>
    <x v="276"/>
    <x v="0"/>
    <s v="100% del pago a treinta (30) días calendarios luego de la entrega en campo "/>
    <n v="4025"/>
    <d v="2026-10-16T00:00:00"/>
    <n v="4025"/>
    <m/>
    <m/>
    <x v="0"/>
    <m/>
    <x v="0"/>
    <m/>
    <x v="0"/>
    <m/>
    <m/>
    <m/>
    <m/>
    <m/>
    <m/>
    <m/>
    <n v="0"/>
    <n v="4025"/>
    <s v="CERRADA"/>
  </r>
  <r>
    <d v="2026-09-11T00:00:00"/>
    <s v="2000.08.02"/>
    <s v="SUMINISTRO DE SISTEMA BES PARA EL POZO GF-138, APURE"/>
    <x v="1"/>
    <s v="ODC"/>
    <s v="AP"/>
    <n v="71"/>
    <x v="277"/>
    <x v="0"/>
    <s v="- 30% con ODC y 70% pago a sesenta (60) días calendarios luego de la entrega en campo. E"/>
    <n v="119432.3"/>
    <m/>
    <n v="35829.72"/>
    <d v="2026-10-16T00:00:00"/>
    <n v="4025"/>
    <x v="0"/>
    <m/>
    <x v="0"/>
    <m/>
    <x v="0"/>
    <m/>
    <m/>
    <m/>
    <m/>
    <m/>
    <m/>
    <m/>
    <n v="79577.58"/>
    <n v="39854.72"/>
    <s v=""/>
  </r>
  <r>
    <d v="2026-09-10T00:00:00"/>
    <s v="2000.09.04"/>
    <s v="SUMINISTRO DE VARIADORES DE FRECUENCIA CONTROL STATION NT VSD"/>
    <x v="8"/>
    <s v="ODC"/>
    <s v="AP"/>
    <n v="72"/>
    <x v="278"/>
    <x v="1"/>
    <m/>
    <n v="195000"/>
    <m/>
    <m/>
    <m/>
    <m/>
    <x v="0"/>
    <m/>
    <x v="0"/>
    <m/>
    <x v="0"/>
    <m/>
    <m/>
    <m/>
    <m/>
    <m/>
    <m/>
    <m/>
    <n v="195000"/>
    <n v="0"/>
    <s v=""/>
  </r>
  <r>
    <d v="2026-09-16T00:00:00"/>
    <m/>
    <s v="SUMINISTRO DE REPUESTO PARA VSD DEL POZO SSW-18"/>
    <x v="17"/>
    <s v="ODC"/>
    <s v="AP"/>
    <n v="73"/>
    <x v="279"/>
    <x v="1"/>
    <m/>
    <n v="1362"/>
    <m/>
    <m/>
    <m/>
    <m/>
    <x v="0"/>
    <m/>
    <x v="0"/>
    <m/>
    <x v="0"/>
    <m/>
    <m/>
    <m/>
    <m/>
    <m/>
    <m/>
    <m/>
    <n v="1362"/>
    <n v="0"/>
    <s v=""/>
  </r>
  <r>
    <d v="2026-09-29T00:00:00"/>
    <s v="2000.13.08"/>
    <s v="SERVICIO DE REPARACION Y MANTENIMIENTO A TRANFORMADORES PAREJA REDUCTOR-ELEVADOR APURE"/>
    <x v="49"/>
    <s v="ODS"/>
    <s v="AP"/>
    <n v="75"/>
    <x v="280"/>
    <x v="1"/>
    <s v="El pago tiene un 50% de Anticipo con la emision de la ODS y 50% a treinta (30) días netos posterior a entrega en campo"/>
    <n v="126600"/>
    <m/>
    <m/>
    <m/>
    <m/>
    <x v="0"/>
    <m/>
    <x v="0"/>
    <m/>
    <x v="0"/>
    <m/>
    <m/>
    <m/>
    <m/>
    <m/>
    <m/>
    <m/>
    <n v="126600"/>
    <n v="0"/>
    <s v=""/>
  </r>
  <r>
    <d v="2026-10-19T00:00:00"/>
    <m/>
    <s v="ACUERDO DE SUMINISTRO DE EQUIPOS, MATERIALES DE FERRETERIA Y CONSUMIBLES VARIOS BNS-AP"/>
    <x v="42"/>
    <s v="ODC"/>
    <s v="AB"/>
    <n v="76"/>
    <x v="281"/>
    <x v="1"/>
    <s v="ACUERDO DE SUMINISTROS DE FERRETERIA"/>
    <n v="274659.83"/>
    <m/>
    <m/>
    <m/>
    <m/>
    <x v="0"/>
    <m/>
    <x v="0"/>
    <m/>
    <x v="0"/>
    <m/>
    <m/>
    <m/>
    <m/>
    <m/>
    <m/>
    <m/>
    <n v="274659.83"/>
    <n v="0"/>
    <s v=""/>
  </r>
  <r>
    <d v="2026-09-15T00:00:00"/>
    <m/>
    <s v="SERVICIO PARA EL DISEÑO Y FABRICACION DE LA PUBLICIDAD PARA LA BASE APURE / HOTEL ESTANCIA DON ALFREDO"/>
    <x v="97"/>
    <s v="ODS"/>
    <s v="AP"/>
    <n v="77"/>
    <x v="282"/>
    <x v="1"/>
    <s v="EN STAND BY"/>
    <n v="6975"/>
    <m/>
    <m/>
    <m/>
    <m/>
    <x v="0"/>
    <m/>
    <x v="0"/>
    <m/>
    <x v="0"/>
    <m/>
    <m/>
    <m/>
    <m/>
    <m/>
    <m/>
    <m/>
    <n v="6975"/>
    <n v="0"/>
    <s v=""/>
  </r>
  <r>
    <m/>
    <m/>
    <s v="ACUERDO PARA EL SUMINISTRO DE EPP BNS-AP"/>
    <x v="3"/>
    <s v="ODC"/>
    <s v="AB"/>
    <n v="77"/>
    <x v="283"/>
    <x v="1"/>
    <m/>
    <n v="297372.5"/>
    <m/>
    <m/>
    <m/>
    <m/>
    <x v="0"/>
    <m/>
    <x v="0"/>
    <m/>
    <x v="0"/>
    <m/>
    <m/>
    <m/>
    <m/>
    <m/>
    <m/>
    <m/>
    <n v="297372.5"/>
    <n v="0"/>
    <s v=""/>
  </r>
  <r>
    <d v="2026-09-28T00:00:00"/>
    <s v="2000.14.03"/>
    <s v="SERVICIO DE REPARACION PARA BOMBA VERTICAL-MOTOR ELECTRICO #2 LOS TRILLIZOS, BARINAS"/>
    <x v="98"/>
    <s v="ODS"/>
    <s v="BA"/>
    <n v="78"/>
    <x v="284"/>
    <x v="1"/>
    <s v="30% con ODS y 70% a treinta (30) días calendarios finalizado el servicio"/>
    <n v="18135"/>
    <d v="2026-10-19T00:00:00"/>
    <n v="5440.5"/>
    <m/>
    <m/>
    <x v="0"/>
    <m/>
    <x v="0"/>
    <m/>
    <x v="0"/>
    <m/>
    <m/>
    <m/>
    <m/>
    <m/>
    <m/>
    <m/>
    <n v="12694.5"/>
    <n v="5440.5"/>
    <s v=""/>
  </r>
  <r>
    <d v="2026-09-25T00:00:00"/>
    <s v="2000.11.02"/>
    <s v="SERVICIO DE ASISTENCIA DE EMERGENCIA A COLVEN POR LA EMPRESA TOP DRIVE&quot;"/>
    <x v="7"/>
    <s v="ODS"/>
    <s v="AP"/>
    <n v="79"/>
    <x v="285"/>
    <x v="1"/>
    <s v="100 pago a treinta (30) días netos posterior a la entrega del informe de campo y"/>
    <n v="12415.11"/>
    <d v="2026-10-15T00:00:00"/>
    <n v="69194.19419419419"/>
    <m/>
    <m/>
    <x v="0"/>
    <m/>
    <x v="0"/>
    <m/>
    <x v="0"/>
    <m/>
    <m/>
    <m/>
    <m/>
    <m/>
    <m/>
    <m/>
    <n v="-56779.08419419419"/>
    <n v="69194.19419419419"/>
    <s v=""/>
  </r>
  <r>
    <d v="2026-10-02T00:00:00"/>
    <s v="400/02/02/03"/>
    <s v="RELACION DE SERVICIOS DE TRANSPORTE CON"/>
    <x v="74"/>
    <s v="ODS"/>
    <s v="AB"/>
    <n v="82"/>
    <x v="286"/>
    <x v="0"/>
    <s v="100% a treinta (30) días netos posterior a la presentación de la ODS firmada por las partes"/>
    <n v="2084"/>
    <d v="2026-10-22T00:00:00"/>
    <n v="2084"/>
    <m/>
    <m/>
    <x v="0"/>
    <m/>
    <x v="0"/>
    <m/>
    <x v="0"/>
    <m/>
    <m/>
    <m/>
    <m/>
    <m/>
    <m/>
    <m/>
    <n v="0"/>
    <n v="2084"/>
    <s v="CERRADA"/>
  </r>
  <r>
    <d v="2026-09-28T00:00:00"/>
    <s v="2000.08.02"/>
    <s v="SUMINISTRO DE SISTEMA BES PARA EL POZO GF-152, APURE&quot;"/>
    <x v="1"/>
    <s v="ODC"/>
    <s v="AP"/>
    <n v="82"/>
    <x v="287"/>
    <x v="0"/>
    <s v="50% con ODC y 50% pago a sesenta (60) días calendarios luego de la entrega en campo."/>
    <n v="119864.12"/>
    <d v="2026-10-15T00:00:00"/>
    <n v="119864.12"/>
    <m/>
    <m/>
    <x v="0"/>
    <m/>
    <x v="0"/>
    <m/>
    <x v="0"/>
    <m/>
    <m/>
    <m/>
    <m/>
    <m/>
    <m/>
    <m/>
    <n v="0"/>
    <n v="119864.12"/>
    <s v="CERRADA"/>
  </r>
  <r>
    <d v="2026-10-19T00:00:00"/>
    <s v="2000.14.02"/>
    <s v="REPARACION DE MOTOR ELECTRICODEL BALANCIN DEL POZO SIN-71"/>
    <x v="61"/>
    <s v="ODS"/>
    <s v="BA"/>
    <n v="83"/>
    <x v="288"/>
    <x v="1"/>
    <m/>
    <n v="3490"/>
    <m/>
    <m/>
    <m/>
    <m/>
    <x v="0"/>
    <m/>
    <x v="0"/>
    <m/>
    <x v="0"/>
    <m/>
    <m/>
    <m/>
    <m/>
    <m/>
    <m/>
    <m/>
    <n v="3490"/>
    <n v="0"/>
    <s v=""/>
  </r>
  <r>
    <d v="2026-10-08T00:00:00"/>
    <m/>
    <s v="SERVICIO PARA LA CARACTERIZACIÓN DE CRUDO-ANALISIS FISCALES BARINAS-APURE"/>
    <x v="77"/>
    <s v="ODS"/>
    <s v="AB"/>
    <n v="84"/>
    <x v="289"/>
    <x v="1"/>
    <m/>
    <n v="24129.63"/>
    <d v="2026-10-22T00:00:00"/>
    <n v="8043.21"/>
    <m/>
    <m/>
    <x v="0"/>
    <m/>
    <x v="0"/>
    <m/>
    <x v="0"/>
    <m/>
    <m/>
    <m/>
    <m/>
    <m/>
    <m/>
    <m/>
    <n v="16086.42"/>
    <n v="8043.21"/>
    <s v=""/>
  </r>
  <r>
    <m/>
    <m/>
    <s v="SUMINISTRO DE FILTROS PARA PLANTA AUTOGENA, APURE&quot;"/>
    <x v="31"/>
    <s v="ODC"/>
    <s v="AP"/>
    <n v="86"/>
    <x v="290"/>
    <x v="1"/>
    <s v="100% a treinta (30) días netos posterior a cada entrega."/>
    <n v="1757.4"/>
    <m/>
    <m/>
    <m/>
    <m/>
    <x v="0"/>
    <m/>
    <x v="0"/>
    <m/>
    <x v="0"/>
    <m/>
    <m/>
    <m/>
    <m/>
    <m/>
    <m/>
    <m/>
    <n v="1757.4"/>
    <n v="0"/>
    <s v=""/>
  </r>
  <r>
    <d v="2026-10-10T00:00:00"/>
    <m/>
    <s v="SUMINISTRO DE REPUESTOS PARA BALANCINES (CORREAS Y EMPACADURAS) DE LA POLIGONAL BARINAS"/>
    <x v="25"/>
    <s v="ODC"/>
    <s v="BA"/>
    <n v="87"/>
    <x v="291"/>
    <x v="1"/>
    <s v="50% de anticipo y 50% a treinta (30) días netos posterior a cada entrega."/>
    <n v="13260"/>
    <m/>
    <m/>
    <m/>
    <m/>
    <x v="0"/>
    <m/>
    <x v="0"/>
    <m/>
    <x v="0"/>
    <m/>
    <m/>
    <m/>
    <m/>
    <m/>
    <m/>
    <m/>
    <n v="13260"/>
    <n v="0"/>
    <s v=""/>
  </r>
  <r>
    <d v="2026-10-01T00:00:00"/>
    <s v="2000.11.02"/>
    <s v="REPUESTOS PARA MOTOGENERADOR CAT1 LA VICTORIA, APURE"/>
    <x v="88"/>
    <s v="ODC"/>
    <s v="AP"/>
    <n v="88"/>
    <x v="292"/>
    <x v="1"/>
    <s v="100% ANTICIPO, 5-10DIAS"/>
    <n v="696"/>
    <m/>
    <m/>
    <m/>
    <m/>
    <x v="0"/>
    <m/>
    <x v="0"/>
    <m/>
    <x v="0"/>
    <m/>
    <m/>
    <m/>
    <m/>
    <m/>
    <m/>
    <m/>
    <n v="696"/>
    <n v="0"/>
    <s v=""/>
  </r>
  <r>
    <d v="2026-10-14T00:00:00"/>
    <m/>
    <s v="SUMINISTRO DE NEUMATICOS PARA APOYO SOCIAL BOMBEROS MUNICIPIO JOSE ANTONIO PAEZ"/>
    <x v="32"/>
    <s v="ODC"/>
    <s v="AP"/>
    <n v="91"/>
    <x v="293"/>
    <x v="1"/>
    <s v="7 DIAS LUEGO DE ODC"/>
    <n v="530"/>
    <d v="2026-10-22T00:00:00"/>
    <n v="530"/>
    <m/>
    <m/>
    <x v="0"/>
    <m/>
    <x v="0"/>
    <m/>
    <x v="0"/>
    <m/>
    <m/>
    <m/>
    <m/>
    <m/>
    <m/>
    <m/>
    <n v="0"/>
    <n v="530"/>
    <s v="CERRADA"/>
  </r>
  <r>
    <d v="2026-10-10T00:00:00"/>
    <s v="2000.14.02"/>
    <s v="SUMINISTRO DE REPUESTOS PARA BALANCINES"/>
    <x v="42"/>
    <s v="ODC"/>
    <s v="ODC"/>
    <n v="93"/>
    <x v="294"/>
    <x v="1"/>
    <s v="100% a treinta (30) días netos posterior a la entrega"/>
    <n v="11622.06"/>
    <m/>
    <m/>
    <m/>
    <m/>
    <x v="0"/>
    <m/>
    <x v="0"/>
    <m/>
    <x v="0"/>
    <m/>
    <m/>
    <m/>
    <m/>
    <m/>
    <m/>
    <m/>
    <n v="11622.06"/>
    <n v="0"/>
    <s v=""/>
  </r>
  <r>
    <s v="5-oct"/>
    <m/>
    <s v="SUMINISTRO DE UNIFORMES DEL EQUIPO MIXTO DE BOLAS CRIOLLAS LOS PETROLEROS  "/>
    <x v="99"/>
    <s v="ODC"/>
    <s v="AP"/>
    <n v="95"/>
    <x v="295"/>
    <x v="1"/>
    <s v="10 DIAS HABILES  LUEGO DE 60% ANTICIPO"/>
    <s v="416,5"/>
    <m/>
    <m/>
    <m/>
    <m/>
    <x v="0"/>
    <m/>
    <x v="0"/>
    <m/>
    <x v="0"/>
    <m/>
    <m/>
    <m/>
    <m/>
    <m/>
    <m/>
    <m/>
    <n v="416.5"/>
    <n v="0"/>
    <m/>
  </r>
  <r>
    <s v="03/09/26"/>
    <m/>
    <s v="SUMINISTRO DE CUADRILLA PARA SANEAMIENTO EN LOS CAMPOS GUAFITA Y LA VICTORIA EN LA DIVISION APURE"/>
    <x v="48"/>
    <s v="ODS"/>
    <s v="AP"/>
    <s v="53"/>
    <x v="296"/>
    <x v="1"/>
    <m/>
    <s v="81.331,20"/>
    <m/>
    <m/>
    <m/>
    <m/>
    <x v="0"/>
    <m/>
    <x v="0"/>
    <m/>
    <x v="0"/>
    <m/>
    <m/>
    <m/>
    <m/>
    <m/>
    <m/>
    <m/>
    <n v="81331.2"/>
    <n v="0"/>
    <s v=""/>
  </r>
  <r>
    <s v="14/10/26"/>
    <s v="2000.08.02"/>
    <s v="SUMINISTRO DE SISTEMA BES  PARA POZO APURE"/>
    <x v="8"/>
    <s v="ODC"/>
    <s v="AP"/>
    <s v="84"/>
    <x v="297"/>
    <x v="1"/>
    <s v="70% CON ODC Y 30% PAGO A 60 DIAS"/>
    <n v="188107.91"/>
    <d v="2026-10-21T00:00:00"/>
    <n v="131675.54"/>
    <m/>
    <m/>
    <x v="0"/>
    <m/>
    <x v="0"/>
    <m/>
    <x v="0"/>
    <m/>
    <m/>
    <m/>
    <m/>
    <m/>
    <m/>
    <m/>
    <n v="56432.37"/>
    <n v="131675.54"/>
    <s v=""/>
  </r>
  <r>
    <d v="2026-10-19T00:00:00"/>
    <m/>
    <s v="SUMINISTRO DE PARTES PARA BOMBEO MECANICO, BARINAS."/>
    <x v="100"/>
    <s v="ODC"/>
    <s v="BA"/>
    <s v="85"/>
    <x v="298"/>
    <x v="1"/>
    <s v="100% ANTICIPO"/>
    <n v="93205"/>
    <m/>
    <m/>
    <m/>
    <m/>
    <x v="0"/>
    <m/>
    <x v="0"/>
    <m/>
    <x v="0"/>
    <m/>
    <m/>
    <m/>
    <m/>
    <m/>
    <m/>
    <m/>
    <n v="93205"/>
    <n v="0"/>
    <s v=""/>
  </r>
  <r>
    <s v="7-oct"/>
    <s v="2000.11.02"/>
    <s v="SUMINISTRO DE ACEITE LUBRICANTE DIESEL SAE 15W40, GENERACION APURE"/>
    <x v="42"/>
    <s v="ODC"/>
    <s v="BA"/>
    <n v="94"/>
    <x v="299"/>
    <x v="1"/>
    <m/>
    <s v="13.256,00"/>
    <m/>
    <m/>
    <m/>
    <m/>
    <x v="0"/>
    <m/>
    <x v="0"/>
    <m/>
    <x v="0"/>
    <m/>
    <m/>
    <m/>
    <m/>
    <m/>
    <m/>
    <m/>
    <n v="13256"/>
    <n v="0"/>
    <s v=""/>
  </r>
  <r>
    <d v="2026-10-01T00:00:00"/>
    <m/>
    <s v="SERVICIO DE SANEAMIENTO, DESMALEZAMIENTO Y LIMPIEZA AREA OPERACIONAL LOS TRILLIZOS"/>
    <x v="55"/>
    <s v="ODS"/>
    <s v="BA"/>
    <s v="80"/>
    <x v="300"/>
    <x v="1"/>
    <m/>
    <s v="20.887,65"/>
    <m/>
    <m/>
    <m/>
    <m/>
    <x v="0"/>
    <m/>
    <x v="0"/>
    <m/>
    <x v="0"/>
    <m/>
    <m/>
    <m/>
    <m/>
    <m/>
    <m/>
    <m/>
    <n v="20887.65"/>
    <n v="0"/>
    <s v="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12" dataOnRows="0" dataCaption="Valores" grandTotalCaption="TOT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PROVEEDOR" fieldListSortAscending="0" mdxSubqueries="0" applyNumberFormats="0" applyBorderFormats="0" applyFontFormats="0" applyPatternFormats="0" applyAlignmentFormats="0" applyWidthHeightFormats="1" r:id="rId1">
  <location ref="A8:C110" firstHeaderRow="0" firstDataRow="1" firstDataCol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74">
        <item t="data" sd="1" m="1" x="116"/>
        <item t="data" sd="1" x="73"/>
        <item t="data" sd="1" x="62"/>
        <item t="data" sd="1" x="27"/>
        <item t="data" sd="1" m="1" x="168"/>
        <item t="data" sd="1" x="67"/>
        <item t="data" sd="1" x="36"/>
        <item t="data" sd="1" m="1" x="117"/>
        <item t="data" sd="1" x="21"/>
        <item t="data" sd="1" x="53"/>
        <item t="data" sd="1" x="74"/>
        <item t="data" sd="1" x="55"/>
        <item t="data" sd="1" m="1" x="153"/>
        <item t="data" sd="1" m="1" x="162"/>
        <item t="data" sd="1" m="1" x="159"/>
        <item t="data" sd="1" x="47"/>
        <item t="data" sd="1" m="1" x="169"/>
        <item t="data" sd="1" m="1" x="128"/>
        <item t="data" sd="1" x="40"/>
        <item t="data" sd="1" x="56"/>
        <item t="data" sd="1" x="29"/>
        <item t="data" sd="1" x="16"/>
        <item t="data" sd="1" x="11"/>
        <item t="data" sd="1" x="76"/>
        <item t="data" sd="1" x="15"/>
        <item t="data" sd="1" x="4"/>
        <item t="data" sd="1" x="38"/>
        <item t="data" sd="1" m="1" x="113"/>
        <item t="data" sd="1" m="1" x="146"/>
        <item t="data" sd="1" m="1" x="145"/>
        <item t="data" sd="1" x="34"/>
        <item t="data" sd="1" x="49"/>
        <item t="data" sd="1" x="48"/>
        <item t="data" sd="1" x="37"/>
        <item t="data" sd="1" m="1" x="140"/>
        <item t="data" sd="1" x="65"/>
        <item t="data" sd="1" x="54"/>
        <item t="data" sd="1" x="80"/>
        <item t="data" sd="1" x="75"/>
        <item t="data" sd="1" m="1" x="141"/>
        <item t="data" sd="1" x="35"/>
        <item t="data" sd="1" x="46"/>
        <item t="data" sd="1" x="57"/>
        <item t="data" sd="1" m="1" x="163"/>
        <item t="data" sd="1" x="66"/>
        <item t="data" sd="1" m="1" x="161"/>
        <item t="data" sd="1" x="17"/>
        <item t="data" sd="1" m="1" x="144"/>
        <item t="data" sd="1" x="64"/>
        <item t="data" sd="1" m="1" x="156"/>
        <item t="data" sd="1" x="79"/>
        <item t="data" sd="1" m="1" x="166"/>
        <item t="data" sd="1" m="1" x="164"/>
        <item t="data" sd="1" x="44"/>
        <item t="data" sd="1" x="22"/>
        <item t="data" sd="1" x="12"/>
        <item t="data" sd="1" x="78"/>
        <item t="data" sd="1" m="1" x="167"/>
        <item t="data" sd="1" x="10"/>
        <item t="data" sd="1" m="1" x="135"/>
        <item t="data" sd="1" x="82"/>
        <item t="data" sd="1" m="1" x="165"/>
        <item t="data" sd="1" x="81"/>
        <item t="data" sd="1" x="45"/>
        <item t="data" sd="1" x="6"/>
        <item t="data" sd="1" m="1" x="151"/>
        <item t="data" sd="1" m="1" x="155"/>
        <item t="data" sd="1" x="42"/>
        <item t="data" sd="1" x="69"/>
        <item t="data" sd="1" m="1" x="131"/>
        <item t="data" sd="1" m="1" x="171"/>
        <item t="data" sd="1" x="58"/>
        <item t="data" sd="1" x="60"/>
        <item t="data" sd="1" x="52"/>
        <item t="data" sd="1" m="1" x="172"/>
        <item t="data" sd="1" x="18"/>
        <item t="data" sd="1" x="13"/>
        <item t="data" sd="1" x="23"/>
        <item t="data" sd="1" x="25"/>
        <item t="data" sd="1" m="1" x="110"/>
        <item t="data" sd="1" x="0"/>
        <item t="data" sd="1" x="24"/>
        <item t="data" sd="1" x="28"/>
        <item t="data" sd="1" x="20"/>
        <item t="data" sd="1" m="1" x="150"/>
        <item t="data" sd="1" x="8"/>
        <item t="data" sd="1" x="71"/>
        <item t="data" sd="1" m="1" x="143"/>
        <item t="data" sd="1" x="51"/>
        <item t="data" sd="1" m="1" x="132"/>
        <item t="data" sd="1" x="59"/>
        <item t="data" sd="1" m="1" x="111"/>
        <item t="data" sd="1" x="14"/>
        <item t="data" sd="1" x="83"/>
        <item t="data" sd="1" x="43"/>
        <item t="data" sd="1" x="5"/>
        <item t="data" sd="1" x="41"/>
        <item t="data" sd="1" x="19"/>
        <item t="data" sd="1" m="1" x="170"/>
        <item t="data" sd="1" m="1" x="152"/>
        <item t="data" sd="1" m="1" x="107"/>
        <item t="data" sd="1" m="1" x="106"/>
        <item t="data" sd="1" x="50"/>
        <item t="data" sd="1" m="1" x="149"/>
        <item t="data" sd="1" x="2"/>
        <item t="data" sd="1" x="63"/>
        <item t="data" sd="1" x="39"/>
        <item t="data" sd="1" m="1" x="142"/>
        <item t="data" sd="1" x="32"/>
        <item t="data" sd="1" m="1" x="157"/>
        <item t="data" sd="1" x="77"/>
        <item t="data" sd="1" m="1" x="109"/>
        <item t="data" sd="1" m="1" x="160"/>
        <item t="data" sd="1" x="30"/>
        <item t="data" sd="1" x="89"/>
        <item t="data" sd="1" x="3"/>
        <item t="data" sd="1" m="1" x="158"/>
        <item t="data" sd="1" x="33"/>
        <item t="data" sd="1" m="1" x="130"/>
        <item t="data" sd="1" x="1"/>
        <item t="data" sd="1" m="1" x="148"/>
        <item t="data" sd="1" m="1" x="119"/>
        <item t="data" sd="1" m="1" x="147"/>
        <item t="data" sd="1" x="72"/>
        <item t="data" sd="1" x="26"/>
        <item t="data" sd="1" m="1" x="154"/>
        <item t="data" sd="1" m="1" x="112"/>
        <item t="data" sd="1" x="9"/>
        <item t="data" sd="1" x="68"/>
        <item t="data" sd="1" x="70"/>
        <item t="data" sd="1" x="86"/>
        <item t="data" sd="1" m="1" x="139"/>
        <item t="data" sd="1" m="1" x="138"/>
        <item t="data" sd="1" x="85"/>
        <item t="data" sd="1" x="92"/>
        <item t="data" sd="1" m="1" x="133"/>
        <item t="data" sd="1" m="1" x="134"/>
        <item t="data" sd="1" m="1" x="137"/>
        <item t="data" sd="1" x="93"/>
        <item t="data" sd="1" m="1" x="136"/>
        <item t="data" sd="1" x="91"/>
        <item t="data" sd="1" m="1" x="115"/>
        <item t="data" sd="1" x="95"/>
        <item t="data" sd="1" m="1" x="120"/>
        <item t="data" sd="1" m="1" x="121"/>
        <item t="data" sd="1" x="90"/>
        <item t="data" sd="1" m="1" x="129"/>
        <item t="data" sd="1" m="1" x="122"/>
        <item t="data" sd="1" m="1" x="123"/>
        <item t="data" sd="1" m="1" x="124"/>
        <item t="data" sd="1" m="1" x="125"/>
        <item t="data" sd="1" m="1" x="126"/>
        <item t="data" sd="1" m="1" x="127"/>
        <item t="data" sd="1" x="96"/>
        <item t="data" sd="1" x="98"/>
        <item t="data" sd="1" x="7"/>
        <item t="data" sd="1" m="1" x="114"/>
        <item t="data" sd="1" m="1" x="118"/>
        <item t="data" sd="1" x="31"/>
        <item t="data" sd="1" m="1" x="105"/>
        <item t="data" sd="1" x="87"/>
        <item t="data" sd="1" x="88"/>
        <item t="data" sd="1" x="94"/>
        <item t="data" sd="1" m="1" x="103"/>
        <item t="data" sd="1" x="84"/>
        <item t="data" sd="1" x="97"/>
        <item t="data" sd="1" m="1" x="101"/>
        <item t="data" sd="1" m="1" x="102"/>
        <item t="data" sd="1" m="1" x="108"/>
        <item t="data" sd="1" x="99"/>
        <item t="data" sd="1" x="100"/>
        <item t="data" sd="1" m="1" x="104"/>
        <item t="data" sd="1" x="61"/>
        <item t="default" sd="1"/>
      </items>
      <autoSortScope>
        <pivotArea type="normal" dataOnly="0" outline="0" fieldPosition="0">
          <references count="1">
            <reference field="4294967294" selected="0">
              <x v="1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8">
        <item t="data" sd="1" x="1"/>
        <item t="data" sd="1" x="5"/>
        <item t="data" sd="1" x="2"/>
        <item t="data" sd="1" x="6"/>
        <item t="data" sd="1" x="7"/>
        <item t="data" sd="1" x="8"/>
        <item t="data" sd="1" x="4"/>
        <item t="data" sd="1" x="9"/>
        <item t="data" sd="1" x="10"/>
        <item t="data" sd="1" x="14"/>
        <item t="data" sd="1" x="3"/>
        <item t="data" sd="1" x="12"/>
        <item t="data" sd="1" x="15"/>
        <item t="data" sd="1" x="13"/>
        <item t="data" sd="1" x="11"/>
        <item t="data" sd="1" x="0"/>
        <item t="data" sd="1" x="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1">
        <item t="data" sd="1" x="3"/>
        <item t="data" sd="1" x="1"/>
        <item t="data" sd="1" x="4"/>
        <item t="data" sd="1" x="5"/>
        <item t="data" sd="1" x="6"/>
        <item t="data" sd="1" x="2"/>
        <item t="data" sd="1" x="0"/>
        <item t="data" sd="1" x="8"/>
        <item t="data" sd="1" x="9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3"/>
        <item t="data" sd="1" x="0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"/>
  </rowFields>
  <rowItems count="102">
    <i t="data" r="0" i="0">
      <x v="85"/>
    </i>
    <i t="data" r="0" i="0">
      <x v="86"/>
    </i>
    <i t="data" r="0" i="0">
      <x v="53"/>
    </i>
    <i t="data" r="0" i="0">
      <x v="172"/>
    </i>
    <i t="data" r="0" i="0">
      <x v="119"/>
    </i>
    <i t="data" r="0" i="0">
      <x v="35"/>
    </i>
    <i t="data" r="0" i="0">
      <x v="94"/>
    </i>
    <i t="data" r="0" i="0">
      <x v="129"/>
    </i>
    <i t="data" r="0" i="0">
      <x v="67"/>
    </i>
    <i t="data" r="0" i="0">
      <x v="113"/>
    </i>
    <i t="data" r="0" i="0">
      <x v="115"/>
    </i>
    <i t="data" r="0" i="0">
      <x v="31"/>
    </i>
    <i t="data" r="0" i="0">
      <x v="18"/>
    </i>
    <i t="data" r="0" i="0">
      <x v="145"/>
    </i>
    <i t="data" r="0" i="0">
      <x v="114"/>
    </i>
    <i t="data" r="0" i="0">
      <x v="62"/>
    </i>
    <i t="data" r="0" i="0">
      <x v="80"/>
    </i>
    <i t="data" r="0" i="0">
      <x v="36"/>
    </i>
    <i t="data" r="0" i="0">
      <x v="142"/>
    </i>
    <i t="data" r="0" i="0">
      <x v="32"/>
    </i>
    <i t="data" r="0" i="0">
      <x v="170"/>
    </i>
    <i t="data" r="0" i="0">
      <x v="83"/>
    </i>
    <i t="data" r="0" i="0">
      <x v="37"/>
    </i>
    <i t="data" r="0" i="0">
      <x v="161"/>
    </i>
    <i t="data" r="0" i="0">
      <x v="11"/>
    </i>
    <i t="data" r="0" i="0">
      <x v="160"/>
    </i>
    <i t="data" r="0" i="0">
      <x v="22"/>
    </i>
    <i t="data" r="0" i="0">
      <x v="162"/>
    </i>
    <i t="data" r="0" i="0">
      <x v="50"/>
    </i>
    <i t="data" r="0" i="0">
      <x v="48"/>
    </i>
    <i t="data" r="0" i="0">
      <x v="158"/>
    </i>
    <i t="data" r="0" i="0">
      <x v="60"/>
    </i>
    <i t="data" r="0" i="0">
      <x v="93"/>
    </i>
    <i t="data" r="0" i="0">
      <x v="54"/>
    </i>
    <i t="data" r="0" i="0">
      <x v="110"/>
    </i>
    <i t="data" r="0" i="0">
      <x v="44"/>
    </i>
    <i t="data" r="0" i="0">
      <x v="64"/>
    </i>
    <i t="data" r="0" i="0">
      <x v="55"/>
    </i>
    <i t="data" r="0" i="0">
      <x v="133"/>
    </i>
    <i t="data" r="0" i="0">
      <x v="5"/>
    </i>
    <i t="data" r="0" i="0">
      <x v="78"/>
    </i>
    <i t="data" r="0" i="0">
      <x v="19"/>
    </i>
    <i t="data" r="0" i="0">
      <x v="154"/>
    </i>
    <i t="data" r="0" i="0">
      <x v="40"/>
    </i>
    <i t="data" r="0" i="0">
      <x v="90"/>
    </i>
    <i t="data" r="0" i="0">
      <x v="164"/>
    </i>
    <i t="data" r="0" i="0">
      <x v="165"/>
    </i>
    <i t="data" r="0" i="0">
      <x v="124"/>
    </i>
    <i t="data" r="0" i="0">
      <x v="105"/>
    </i>
    <i t="data" r="0" i="0">
      <x v="92"/>
    </i>
    <i t="data" r="0" i="0">
      <x v="15"/>
    </i>
    <i t="data" r="0" i="0">
      <x v="88"/>
    </i>
    <i t="data" r="0" i="0">
      <x v="42"/>
    </i>
    <i t="data" r="0" i="0">
      <x v="68"/>
    </i>
    <i t="data" r="0" i="0">
      <x v="38"/>
    </i>
    <i t="data" r="0" i="0">
      <x v="77"/>
    </i>
    <i t="data" r="0" i="0">
      <x v="46"/>
    </i>
    <i t="data" r="0" i="0">
      <x v="10"/>
    </i>
    <i t="data" r="0" i="0">
      <x v="130"/>
    </i>
    <i t="data" r="0" i="0">
      <x v="117"/>
    </i>
    <i t="data" r="0" i="0">
      <x v="138"/>
    </i>
    <i t="data" r="0" i="0">
      <x v="169"/>
    </i>
    <i t="data" r="0" i="0">
      <x v="1"/>
    </i>
    <i t="data" r="0" i="0">
      <x v="30"/>
    </i>
    <i t="data" r="0" i="0">
      <x v="71"/>
    </i>
    <i t="data" r="0" i="0">
      <x v="8"/>
    </i>
    <i t="data" r="0" i="0">
      <x v="96"/>
    </i>
    <i t="data" r="0" i="0">
      <x v="75"/>
    </i>
    <i t="data" r="0" i="0">
      <x v="97"/>
    </i>
    <i t="data" r="0" i="0">
      <x v="6"/>
    </i>
    <i t="data" r="0" i="0">
      <x v="102"/>
    </i>
    <i t="data" r="0" i="0">
      <x v="26"/>
    </i>
    <i t="data" r="0" i="0">
      <x v="104"/>
    </i>
    <i t="data" r="0" i="0">
      <x v="153"/>
    </i>
    <i t="data" r="0" i="0">
      <x v="23"/>
    </i>
    <i t="data" r="0" i="0">
      <x v="20"/>
    </i>
    <i t="data" r="0" i="0">
      <x v="106"/>
    </i>
    <i t="data" r="0" i="0">
      <x v="128"/>
    </i>
    <i t="data" r="0" i="0">
      <x v="108"/>
    </i>
    <i t="data" r="0" i="0">
      <x v="25"/>
    </i>
    <i t="data" r="0" i="0">
      <x v="56"/>
    </i>
    <i t="data" r="0" i="0">
      <x v="134"/>
    </i>
    <i t="data" r="0" i="0">
      <x v="58"/>
    </i>
    <i t="data" r="0" i="0">
      <x v="140"/>
    </i>
    <i t="data" r="0" i="0">
      <x v="33"/>
    </i>
    <i t="data" r="0" i="0">
      <x v="72"/>
    </i>
    <i t="data" r="0" i="0">
      <x v="24"/>
    </i>
    <i t="data" r="0" i="0">
      <x v="73"/>
    </i>
    <i t="data" r="0" i="0">
      <x v="81"/>
    </i>
    <i t="data" r="0" i="0">
      <x v="95"/>
    </i>
    <i t="data" r="0" i="0">
      <x v="76"/>
    </i>
    <i t="data" r="0" i="0">
      <x v="82"/>
    </i>
    <i t="data" r="0" i="0">
      <x v="21"/>
    </i>
    <i t="data" r="0" i="0">
      <x v="9"/>
    </i>
    <i t="data" r="0" i="0">
      <x v="127"/>
    </i>
    <i t="data" r="0" i="0">
      <x v="63"/>
    </i>
    <i t="data" r="0" i="0">
      <x v="41"/>
    </i>
    <i t="data" r="0" i="0">
      <x v="123"/>
    </i>
    <i t="data" r="0" i="0">
      <x v="2"/>
    </i>
    <i t="data" r="0" i="0">
      <x v="3"/>
    </i>
    <i t="data" r="0" i="0">
      <x v="15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US $ PAGADO" fld="28" subtotal="sum" showDataAs="normal" baseField="0" baseItem="0" numFmtId="4"/>
    <dataField name="US$ POR PAGAR" fld="27" subtotal="sum" showDataAs="normal" baseField="0" baseItem="0"/>
  </dataFields>
  <formats count="8">
    <format action="formatting" dxfId="11">
      <pivotArea type="normal" dataOnly="1" outline="0" collapsedLevelsAreSubtotals="1" fieldPosition="0"/>
    </format>
    <format action="formatting" dxfId="10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9">
      <pivotArea field="3" type="button" dataOnly="0" labelOnly="1" outline="0" axis="axisRow" fieldPosition="0"/>
    </format>
    <format action="formatting" dxfId="8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7">
      <pivotArea field="3" type="button" dataOnly="0" labelOnly="1" outline="0" axis="axisRow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4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1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Medium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tabSelected="1" topLeftCell="A3" workbookViewId="0">
      <selection activeCell="G15" sqref="G15:H15"/>
    </sheetView>
  </sheetViews>
  <sheetFormatPr baseColWidth="10" defaultColWidth="11.44140625" defaultRowHeight="14.4"/>
  <cols>
    <col width="124.109375" bestFit="1" customWidth="1" min="1" max="1"/>
    <col width="13.44140625" bestFit="1" customWidth="1" style="11" min="2" max="2"/>
    <col width="14" bestFit="1" customWidth="1" style="11" min="3" max="3"/>
    <col width="13.44140625" bestFit="1" customWidth="1" min="4" max="4"/>
    <col width="10.88671875" customWidth="1" min="5" max="5"/>
    <col width="24.21875" customWidth="1" min="8" max="8"/>
  </cols>
  <sheetData>
    <row r="1">
      <c r="A1" s="6" t="e">
        <v>#VALUE!</v>
      </c>
    </row>
    <row r="2"/>
    <row r="3"/>
    <row r="4"/>
    <row r="5"/>
    <row r="6">
      <c r="A6" s="1" t="inlineStr">
        <is>
          <t>CONSOLIDADO ASIGNACIONES ODC-ODS POR PROVEEDOR</t>
        </is>
      </c>
      <c r="E6" s="12" t="inlineStr">
        <is>
          <t>Celdas en amarillo = valores REFERENCIALES de ejemplo (importancia y tipo). Reemplazar por los definitivos.</t>
        </is>
      </c>
    </row>
    <row r="7"/>
    <row r="8">
      <c r="A8" s="3" t="inlineStr">
        <is>
          <t>PROVEEDOR</t>
        </is>
      </c>
      <c r="B8" s="13" t="inlineStr">
        <is>
          <t>US $ PAGADO</t>
        </is>
      </c>
      <c r="C8" s="13" t="inlineStr">
        <is>
          <t>US$ POR PAGAR</t>
        </is>
      </c>
      <c r="D8" s="8" t="inlineStr">
        <is>
          <t>TOTAL</t>
        </is>
      </c>
      <c r="E8" s="9" t="inlineStr">
        <is>
          <t>IMPORTANCIA OPERATIVA</t>
        </is>
      </c>
      <c r="G8" s="9" t="inlineStr">
        <is>
          <t>PROVEEDOR SUMINISTRO O SERVICIOS</t>
        </is>
      </c>
    </row>
    <row r="9">
      <c r="A9" s="2" t="inlineStr">
        <is>
          <t>NEW TECH ALS, C.A.</t>
        </is>
      </c>
      <c r="B9" s="11" t="n">
        <v>5085566.808677364</v>
      </c>
      <c r="C9" s="11" t="n">
        <v>2831126.441322636</v>
      </c>
      <c r="D9" s="11">
        <f>SUM(B9:C9)</f>
        <v/>
      </c>
      <c r="E9" s="10" t="n">
        <v>10</v>
      </c>
      <c r="G9" s="10" t="inlineStr">
        <is>
          <t>SUMINISTRO-SERVICIOS</t>
        </is>
      </c>
    </row>
    <row r="10">
      <c r="A10" s="2" t="inlineStr">
        <is>
          <t>NPO SERVICES, C.A</t>
        </is>
      </c>
      <c r="B10" s="11" t="n">
        <v>0</v>
      </c>
      <c r="C10" s="11" t="n">
        <v>1173989.82</v>
      </c>
      <c r="D10" s="11">
        <f>SUM(B10:C10)</f>
        <v/>
      </c>
      <c r="E10" s="10" t="n">
        <v>10</v>
      </c>
      <c r="G10" s="10" t="inlineStr">
        <is>
          <t>SUMINISTRO-SERVICIOS</t>
        </is>
      </c>
    </row>
    <row r="11">
      <c r="A11" s="2" t="inlineStr">
        <is>
          <t>H&amp;B SERVICIOS GLOBAL C.A.</t>
        </is>
      </c>
      <c r="B11" s="11" t="n">
        <v>817688</v>
      </c>
      <c r="C11" s="11" t="n">
        <v>967312</v>
      </c>
      <c r="D11" s="11">
        <f>SUM(B11:C11)</f>
        <v/>
      </c>
      <c r="E11" s="10" t="n">
        <v>7</v>
      </c>
      <c r="G11" s="10" t="inlineStr">
        <is>
          <t>SUMINISTRO</t>
        </is>
      </c>
    </row>
    <row r="12">
      <c r="A12" s="2" t="inlineStr">
        <is>
          <t>SELECTRIX BARINAS C.A.</t>
        </is>
      </c>
      <c r="B12" s="11" t="n">
        <v>385757.6799999999</v>
      </c>
      <c r="C12" s="11" t="n">
        <v>574541.1100000001</v>
      </c>
      <c r="D12" s="11">
        <f>SUM(B12:C12)</f>
        <v/>
      </c>
      <c r="E12" s="10" t="n">
        <v>6</v>
      </c>
      <c r="G12" s="10" t="inlineStr">
        <is>
          <t>SUMINISTRO-SERVICIOS</t>
        </is>
      </c>
    </row>
    <row r="13">
      <c r="A13" s="2" t="inlineStr">
        <is>
          <t>TAMORCA,C.A.</t>
        </is>
      </c>
      <c r="B13" s="11" t="n">
        <v>1581141.23</v>
      </c>
      <c r="C13" s="11" t="n">
        <v>565523.47</v>
      </c>
      <c r="D13" s="11">
        <f>SUM(B13:C13)</f>
        <v/>
      </c>
      <c r="E13" s="10" t="n">
        <v>9</v>
      </c>
      <c r="G13" s="10" t="inlineStr">
        <is>
          <t>SUMINISTRO</t>
        </is>
      </c>
    </row>
    <row r="14">
      <c r="A14" s="2" t="inlineStr">
        <is>
          <t>CORPORACION CARACAS, C.A.</t>
        </is>
      </c>
      <c r="B14" s="11" t="n">
        <v>59222.66</v>
      </c>
      <c r="C14" s="11" t="n">
        <v>534038.14</v>
      </c>
      <c r="D14" s="11">
        <f>SUM(B14:C14)</f>
        <v/>
      </c>
      <c r="E14" s="10" t="n">
        <v>2</v>
      </c>
      <c r="G14" s="10" t="inlineStr">
        <is>
          <t>SERVICIOS</t>
        </is>
      </c>
    </row>
    <row r="15">
      <c r="A15" s="2" t="inlineStr">
        <is>
          <t>PIPE SUPPLY AND SERVICES SAS</t>
        </is>
      </c>
      <c r="B15" s="11" t="n">
        <v>0</v>
      </c>
      <c r="C15" s="11" t="n">
        <v>507000</v>
      </c>
      <c r="D15" s="11">
        <f>SUM(B15:C15)</f>
        <v/>
      </c>
      <c r="E15" s="10" t="n">
        <v>7</v>
      </c>
      <c r="G15" s="10" t="inlineStr">
        <is>
          <t>SERVICIOS</t>
        </is>
      </c>
    </row>
    <row r="16">
      <c r="A16" s="2" t="inlineStr">
        <is>
          <t>ARKAN GRUPO INDUSTRIAL, C.A.</t>
        </is>
      </c>
      <c r="B16" s="11" t="n">
        <v>49878</v>
      </c>
      <c r="C16" s="11" t="n">
        <v>338192</v>
      </c>
      <c r="D16" s="11">
        <f>SUM(B16:C16)</f>
        <v/>
      </c>
      <c r="E16" s="14" t="n">
        <v>7</v>
      </c>
      <c r="G16" s="14" t="inlineStr">
        <is>
          <t>SUMINISTRO</t>
        </is>
      </c>
    </row>
    <row r="17">
      <c r="A17" s="2" t="inlineStr">
        <is>
          <t>INVERSIONES LLANOTEC</t>
        </is>
      </c>
      <c r="B17" s="11" t="n">
        <v>147003.36</v>
      </c>
      <c r="C17" s="11" t="n">
        <v>303001.17</v>
      </c>
      <c r="D17" s="11">
        <f>SUM(B17:C17)</f>
        <v/>
      </c>
      <c r="E17" s="14" t="n">
        <v>6</v>
      </c>
      <c r="G17" s="14" t="inlineStr">
        <is>
          <t>SERVICIOS</t>
        </is>
      </c>
    </row>
    <row r="18">
      <c r="A18" s="2" t="inlineStr">
        <is>
          <t>SOLTECH MTS GROUP, C.A</t>
        </is>
      </c>
      <c r="B18" s="11" t="n">
        <v>729212.1899999999</v>
      </c>
      <c r="C18" s="11" t="n">
        <v>301911.77</v>
      </c>
      <c r="D18" s="11">
        <f>SUM(B18:C18)</f>
        <v/>
      </c>
      <c r="E18" s="14" t="n">
        <v>8</v>
      </c>
      <c r="G18" s="14" t="inlineStr">
        <is>
          <t>SUMINISTRO</t>
        </is>
      </c>
    </row>
    <row r="19">
      <c r="A19" s="2" t="inlineStr">
        <is>
          <t>SOSHICA</t>
        </is>
      </c>
      <c r="B19" s="11" t="n">
        <v>5478</v>
      </c>
      <c r="C19" s="11" t="n">
        <v>297612.5</v>
      </c>
      <c r="D19" s="11">
        <f>SUM(B19:C19)</f>
        <v/>
      </c>
      <c r="E19" s="14" t="n">
        <v>3</v>
      </c>
      <c r="G19" s="14" t="inlineStr">
        <is>
          <t>SUMINISTRO</t>
        </is>
      </c>
    </row>
    <row r="20">
      <c r="A20" s="2" t="inlineStr">
        <is>
          <t>CONSTRUCTORA KVA C.A.</t>
        </is>
      </c>
      <c r="B20" s="11" t="n">
        <v>146625</v>
      </c>
      <c r="C20" s="11" t="n">
        <v>287800</v>
      </c>
      <c r="D20" s="11">
        <f>SUM(B20:C20)</f>
        <v/>
      </c>
      <c r="E20" s="14" t="n">
        <v>7</v>
      </c>
      <c r="G20" s="14" t="inlineStr">
        <is>
          <t>SERVICIOS</t>
        </is>
      </c>
    </row>
    <row r="21">
      <c r="A21" s="2" t="inlineStr">
        <is>
          <t>CIMA TECH, C.A.</t>
        </is>
      </c>
      <c r="B21" s="11" t="n">
        <v>529979.117</v>
      </c>
      <c r="C21" s="11" t="n">
        <v>246768.313</v>
      </c>
      <c r="D21" s="11">
        <f>SUM(B21:C21)</f>
        <v/>
      </c>
      <c r="E21" s="14" t="n">
        <v>3</v>
      </c>
      <c r="G21" s="14" t="inlineStr">
        <is>
          <t>SUMINISTRO</t>
        </is>
      </c>
    </row>
    <row r="22">
      <c r="A22" s="2" t="inlineStr">
        <is>
          <t>PEDRO PANZA</t>
        </is>
      </c>
      <c r="B22" s="11" t="n">
        <v>0</v>
      </c>
      <c r="C22" s="11" t="n">
        <v>240000</v>
      </c>
      <c r="D22" s="11">
        <f>SUM(B22:C22)</f>
        <v/>
      </c>
      <c r="E22" s="14" t="n">
        <v>3</v>
      </c>
      <c r="G22" s="14" t="inlineStr">
        <is>
          <t>SERVICIOS</t>
        </is>
      </c>
    </row>
    <row r="23">
      <c r="A23" s="2" t="inlineStr">
        <is>
          <t>SOLTECH, C.A.</t>
        </is>
      </c>
      <c r="B23" s="11" t="n">
        <v>0</v>
      </c>
      <c r="C23" s="11" t="n">
        <v>200907</v>
      </c>
      <c r="D23" s="11">
        <f>SUM(B23:C23)</f>
        <v/>
      </c>
      <c r="E23" s="14" t="n">
        <v>5</v>
      </c>
      <c r="G23" s="14" t="inlineStr">
        <is>
          <t>SUMINISTRO</t>
        </is>
      </c>
    </row>
    <row r="24">
      <c r="A24" s="2" t="inlineStr">
        <is>
          <t xml:space="preserve">INTEGRAL CORP GROUP, C.A. </t>
        </is>
      </c>
      <c r="B24" s="11" t="n">
        <v>14844</v>
      </c>
      <c r="C24" s="11" t="n">
        <v>196176</v>
      </c>
      <c r="D24" s="11">
        <f>SUM(B24:C24)</f>
        <v/>
      </c>
      <c r="E24" s="14" t="n">
        <v>5</v>
      </c>
      <c r="G24" s="14" t="inlineStr">
        <is>
          <t>SUMINISTRO</t>
        </is>
      </c>
    </row>
    <row r="25">
      <c r="A25" s="2" t="inlineStr">
        <is>
          <t>MEREY ENERGY 58 C.A. (AUT.IOSA)</t>
        </is>
      </c>
      <c r="B25" s="11" t="n">
        <v>244555.42</v>
      </c>
      <c r="C25" s="11" t="n">
        <v>169309.78</v>
      </c>
      <c r="D25" s="11">
        <f>SUM(B25:C25)</f>
        <v/>
      </c>
      <c r="E25" s="14" t="n">
        <v>5</v>
      </c>
      <c r="G25" s="14" t="inlineStr">
        <is>
          <t>SUMINISTRO-SERVICIOS</t>
        </is>
      </c>
    </row>
    <row r="26">
      <c r="A26" s="2" t="inlineStr">
        <is>
          <t>D&amp;P, C.A.</t>
        </is>
      </c>
      <c r="B26" s="11" t="n">
        <v>332002</v>
      </c>
      <c r="C26" s="11" t="n">
        <v>158495</v>
      </c>
      <c r="D26" s="11">
        <f>SUM(B26:C26)</f>
        <v/>
      </c>
      <c r="E26" s="14" t="n">
        <v>6</v>
      </c>
      <c r="G26" s="14" t="inlineStr">
        <is>
          <t>SUMINISTRO</t>
        </is>
      </c>
    </row>
    <row r="27">
      <c r="A27" s="2" t="inlineStr">
        <is>
          <t>INVERSIONES DINOR C.A.</t>
        </is>
      </c>
      <c r="B27" s="11" t="n">
        <v>0</v>
      </c>
      <c r="C27" s="11" t="n">
        <v>138865</v>
      </c>
      <c r="D27" s="11">
        <f>SUM(B27:C27)</f>
        <v/>
      </c>
      <c r="E27" s="14" t="n">
        <v>6</v>
      </c>
      <c r="G27" s="14" t="inlineStr">
        <is>
          <t>SUMINISTRO</t>
        </is>
      </c>
    </row>
    <row r="28">
      <c r="A28" s="2" t="inlineStr">
        <is>
          <t>CONSTRUSERVICIOS GREGOCHAR, C.A.</t>
        </is>
      </c>
      <c r="B28" s="11" t="n">
        <v>39698.74</v>
      </c>
      <c r="C28" s="11" t="n">
        <v>103595.22</v>
      </c>
      <c r="D28" s="11">
        <f>SUM(B28:C28)</f>
        <v/>
      </c>
      <c r="E28" s="14" t="n">
        <v>3</v>
      </c>
      <c r="G28" s="14" t="inlineStr">
        <is>
          <t>SERVICIOS</t>
        </is>
      </c>
    </row>
    <row r="29">
      <c r="A29" s="2" t="inlineStr">
        <is>
          <t>LATAM ENERGY SOLUTIONS, SAS</t>
        </is>
      </c>
      <c r="B29" s="11" t="n">
        <v>0</v>
      </c>
      <c r="C29" s="11" t="n">
        <v>93205</v>
      </c>
      <c r="D29" s="11">
        <f>SUM(B29:C29)</f>
        <v/>
      </c>
      <c r="E29" s="14" t="n">
        <v>6</v>
      </c>
      <c r="G29" s="14" t="inlineStr">
        <is>
          <t>SUMINISTRO</t>
        </is>
      </c>
    </row>
    <row r="30">
      <c r="A30" s="2" t="inlineStr">
        <is>
          <t>NEW PROYECT, C.A</t>
        </is>
      </c>
      <c r="B30" s="11" t="n">
        <v>288837.04</v>
      </c>
      <c r="C30" s="11" t="n">
        <v>86570.32000000001</v>
      </c>
      <c r="D30" s="11">
        <f>SUM(B30:C30)</f>
        <v/>
      </c>
      <c r="E30" s="14" t="n">
        <v>6</v>
      </c>
      <c r="G30" s="14" t="inlineStr">
        <is>
          <t>SERVICIOS</t>
        </is>
      </c>
    </row>
    <row r="31">
      <c r="A31" s="2" t="inlineStr">
        <is>
          <t>DECARB 2 GO INC.</t>
        </is>
      </c>
      <c r="B31" s="11" t="n">
        <v>0</v>
      </c>
      <c r="C31" s="11" t="n">
        <v>83650</v>
      </c>
      <c r="D31" s="11">
        <f>SUM(B31:C31)</f>
        <v/>
      </c>
      <c r="E31" s="14" t="n">
        <v>4</v>
      </c>
      <c r="G31" s="14" t="inlineStr">
        <is>
          <t>SERVICIOS</t>
        </is>
      </c>
    </row>
    <row r="32">
      <c r="A32" s="2" t="inlineStr">
        <is>
          <t>RLR, S.A.S.</t>
        </is>
      </c>
      <c r="B32" s="11" t="n">
        <v>0</v>
      </c>
      <c r="C32" s="11" t="n">
        <v>80696</v>
      </c>
      <c r="D32" s="11">
        <f>SUM(B32:C32)</f>
        <v/>
      </c>
      <c r="E32" s="14" t="n">
        <v>7</v>
      </c>
      <c r="G32" s="14" t="inlineStr">
        <is>
          <t>SUMINISTRO</t>
        </is>
      </c>
    </row>
    <row r="33">
      <c r="A33" s="2" t="inlineStr">
        <is>
          <t>ASOCIACION COOPERATIVA SINAT-57, R.L.</t>
        </is>
      </c>
      <c r="B33" s="11" t="n">
        <v>22866.05721951219</v>
      </c>
      <c r="C33" s="11" t="n">
        <v>76440.93278048781</v>
      </c>
      <c r="D33" s="11">
        <f>SUM(B33:C33)</f>
        <v/>
      </c>
      <c r="E33" s="14" t="n">
        <v>3</v>
      </c>
      <c r="G33" s="14" t="inlineStr">
        <is>
          <t>SERVICIOS</t>
        </is>
      </c>
    </row>
    <row r="34">
      <c r="A34" s="2" t="inlineStr">
        <is>
          <t>SERVICIO DE CARACTERIZACION AMBIENTAL DE EFLUENTES LIQUIDOS, SUELOS Y EMISIONES ATMOSFERICAS EN LOS CAMPOS GUAFITA Y LA VICTORIA</t>
        </is>
      </c>
      <c r="B34" s="11" t="n">
        <v>1400</v>
      </c>
      <c r="C34" s="11" t="n">
        <v>68260</v>
      </c>
      <c r="D34" s="11">
        <f>SUM(B34:C34)</f>
        <v/>
      </c>
      <c r="E34" s="14" t="n">
        <v>6</v>
      </c>
      <c r="G34" s="14" t="inlineStr">
        <is>
          <t>SERVICIOS</t>
        </is>
      </c>
    </row>
    <row r="35">
      <c r="A35" s="2" t="inlineStr">
        <is>
          <t>COMPAÑÍA ANONIMA MILITAR DE INDUSTRIAS MINERAS, PETROLIFERAS Y DE GAS (CAMIMPEG), C.A.</t>
        </is>
      </c>
      <c r="B35" s="11" t="n">
        <v>347497.68</v>
      </c>
      <c r="C35" s="11" t="n">
        <v>67106.39999999999</v>
      </c>
      <c r="D35" s="11">
        <f>SUM(B35:C35)</f>
        <v/>
      </c>
      <c r="E35" s="14" t="n">
        <v>5</v>
      </c>
      <c r="G35" s="14" t="inlineStr">
        <is>
          <t>SUMINISTRO</t>
        </is>
      </c>
    </row>
    <row r="36">
      <c r="A36" s="2" t="inlineStr">
        <is>
          <t>INVERSIONES SANTA CRUZ C.A.</t>
        </is>
      </c>
      <c r="B36" s="11" t="n">
        <v>26684.7</v>
      </c>
      <c r="C36" s="11" t="n">
        <v>62264.3</v>
      </c>
      <c r="D36" s="11">
        <f>SUM(B36:C36)</f>
        <v/>
      </c>
      <c r="E36" s="14" t="n">
        <v>5</v>
      </c>
      <c r="G36" s="14" t="inlineStr">
        <is>
          <t>SUMINISTRO-SERVICIOS</t>
        </is>
      </c>
    </row>
    <row r="37">
      <c r="A37" s="2" t="inlineStr">
        <is>
          <t>FORTIA ENERGY &amp; SERVICIOS, C.A.</t>
        </is>
      </c>
      <c r="B37" s="11" t="n">
        <v>0</v>
      </c>
      <c r="C37" s="11" t="n">
        <v>45897.28</v>
      </c>
      <c r="D37" s="11">
        <f>SUM(B37:C37)</f>
        <v/>
      </c>
      <c r="E37" s="14" t="n">
        <v>6</v>
      </c>
      <c r="G37" s="14" t="inlineStr">
        <is>
          <t>SERVICIOS</t>
        </is>
      </c>
    </row>
    <row r="38">
      <c r="A38" s="2" t="inlineStr">
        <is>
          <t>EXTIN-PRO-BA, C.A.</t>
        </is>
      </c>
      <c r="B38" s="11" t="n">
        <v>1240</v>
      </c>
      <c r="C38" s="11" t="n">
        <v>32680</v>
      </c>
      <c r="D38" s="11">
        <f>SUM(B38:C38)</f>
        <v/>
      </c>
      <c r="E38" s="14" t="n">
        <v>2</v>
      </c>
      <c r="G38" s="14" t="inlineStr">
        <is>
          <t>SERVICIOS</t>
        </is>
      </c>
    </row>
    <row r="39">
      <c r="A39" s="2" t="inlineStr">
        <is>
          <t>CONSORCIO DE CONGESTION VENEQUIP</t>
        </is>
      </c>
      <c r="B39" s="11" t="n">
        <v>55599.45</v>
      </c>
      <c r="C39" s="11" t="n">
        <v>28056.06</v>
      </c>
      <c r="D39" s="11">
        <f>SUM(B39:C39)</f>
        <v/>
      </c>
      <c r="E39" s="14" t="n">
        <v>5</v>
      </c>
      <c r="G39" s="14" t="inlineStr">
        <is>
          <t>SERVICIOS</t>
        </is>
      </c>
    </row>
    <row r="40">
      <c r="A40" s="2" t="inlineStr">
        <is>
          <t>INGENIERIA GONZALEZ, C.A. (INGONCA)</t>
        </is>
      </c>
      <c r="B40" s="11" t="n">
        <v>17775.5</v>
      </c>
      <c r="C40" s="11" t="n">
        <v>27666.5</v>
      </c>
      <c r="D40" s="11">
        <f>SUM(B40:C40)</f>
        <v/>
      </c>
      <c r="E40" s="14" t="n">
        <v>4</v>
      </c>
      <c r="G40" s="14" t="inlineStr">
        <is>
          <t>SERVICIOS</t>
        </is>
      </c>
    </row>
    <row r="41">
      <c r="A41" s="2" t="inlineStr">
        <is>
          <t>PETRORAMO9,C.A.</t>
        </is>
      </c>
      <c r="B41" s="11" t="n">
        <v>0</v>
      </c>
      <c r="C41" s="11" t="n">
        <v>27000</v>
      </c>
      <c r="D41" s="11">
        <f>SUM(B41:C41)</f>
        <v/>
      </c>
      <c r="E41" s="14" t="n">
        <v>4</v>
      </c>
      <c r="G41" s="14" t="inlineStr">
        <is>
          <t>SUMINISTRO</t>
        </is>
      </c>
    </row>
    <row r="42">
      <c r="A42" s="2" t="inlineStr">
        <is>
          <t>HIPER VALLE, C.A.</t>
        </is>
      </c>
      <c r="B42" s="11" t="n">
        <v>34643.75</v>
      </c>
      <c r="C42" s="11" t="n">
        <v>25557.53</v>
      </c>
      <c r="D42" s="11">
        <f>SUM(B42:C42)</f>
        <v/>
      </c>
      <c r="E42" s="14" t="n">
        <v>6</v>
      </c>
      <c r="G42" s="14" t="inlineStr">
        <is>
          <t>SUMINISTRO</t>
        </is>
      </c>
    </row>
    <row r="43">
      <c r="A43" s="2" t="inlineStr">
        <is>
          <t>SIMSA DE VENEZUELA</t>
        </is>
      </c>
      <c r="B43" s="11" t="n">
        <v>16086.42</v>
      </c>
      <c r="C43" s="11" t="n">
        <v>24129.63</v>
      </c>
      <c r="D43" s="11">
        <f>SUM(B43:C43)</f>
        <v/>
      </c>
      <c r="E43" s="14" t="n">
        <v>7</v>
      </c>
      <c r="G43" s="14" t="inlineStr">
        <is>
          <t>SUMINISTRO</t>
        </is>
      </c>
    </row>
    <row r="44">
      <c r="A44" s="2" t="inlineStr">
        <is>
          <t>ENERGIA Y CONSTRUCCIONES DE VENEZUELA, C.A</t>
        </is>
      </c>
      <c r="B44" s="11" t="n">
        <v>0</v>
      </c>
      <c r="C44" s="11" t="n">
        <v>22506.48</v>
      </c>
      <c r="D44" s="11">
        <f>SUM(B44:C44)</f>
        <v/>
      </c>
      <c r="E44" s="14" t="n">
        <v>4</v>
      </c>
      <c r="G44" s="14" t="inlineStr">
        <is>
          <t>SERVICIOS</t>
        </is>
      </c>
    </row>
    <row r="45">
      <c r="A45" s="2" t="inlineStr">
        <is>
          <t>INVERSION RIO NEGRO C.A.</t>
        </is>
      </c>
      <c r="B45" s="11" t="n">
        <v>2535</v>
      </c>
      <c r="C45" s="11" t="n">
        <v>18050</v>
      </c>
      <c r="D45" s="11">
        <f>SUM(B45:C45)</f>
        <v/>
      </c>
      <c r="E45" s="14" t="n">
        <v>6</v>
      </c>
      <c r="G45" s="14" t="inlineStr">
        <is>
          <t>SUMINISTRO</t>
        </is>
      </c>
    </row>
    <row r="46">
      <c r="A46" s="2" t="inlineStr">
        <is>
          <t>INDUSTRIAS METALURGICAS EXCEL, C.A.</t>
        </is>
      </c>
      <c r="B46" s="11" t="n">
        <v>392058.2299999999</v>
      </c>
      <c r="C46" s="11" t="n">
        <v>16093.2</v>
      </c>
      <c r="D46" s="11">
        <f>SUM(B46:C46)</f>
        <v/>
      </c>
      <c r="E46" s="14" t="n">
        <v>8</v>
      </c>
      <c r="G46" s="14" t="inlineStr">
        <is>
          <t>SUMINISTRO</t>
        </is>
      </c>
    </row>
    <row r="47">
      <c r="A47" s="2" t="inlineStr">
        <is>
          <t>BUS OCCIDENTE NEW, C.A.</t>
        </is>
      </c>
      <c r="B47" s="11" t="n">
        <v>3829.85</v>
      </c>
      <c r="C47" s="11" t="n">
        <v>15621.15</v>
      </c>
      <c r="D47" s="11">
        <f>SUM(B47:C47)</f>
        <v/>
      </c>
      <c r="E47" s="14" t="n">
        <v>1</v>
      </c>
      <c r="G47" s="14" t="inlineStr">
        <is>
          <t>SUMINISTRO</t>
        </is>
      </c>
    </row>
    <row r="48">
      <c r="A48" s="2" t="inlineStr">
        <is>
          <t>AMPLEX DE COLOMBIA COMPAÑIA</t>
        </is>
      </c>
      <c r="B48" s="11" t="n">
        <v>0</v>
      </c>
      <c r="C48" s="11" t="n">
        <v>15521.93</v>
      </c>
      <c r="D48" s="11">
        <f>SUM(B48:C48)</f>
        <v/>
      </c>
      <c r="E48" s="14" t="n">
        <v>4</v>
      </c>
      <c r="G48" s="14" t="inlineStr">
        <is>
          <t>SUMINISTRO</t>
        </is>
      </c>
    </row>
    <row r="49">
      <c r="A49" s="2" t="inlineStr">
        <is>
          <t>MAMUSA INDUSTRIAL, C.A.</t>
        </is>
      </c>
      <c r="B49" s="11" t="n">
        <v>5741.8</v>
      </c>
      <c r="C49" s="11" t="n">
        <v>13506</v>
      </c>
      <c r="D49" s="11">
        <f>SUM(B49:C49)</f>
        <v/>
      </c>
      <c r="E49" s="14" t="n">
        <v>6</v>
      </c>
      <c r="G49" s="14" t="inlineStr">
        <is>
          <t>SUMINISTRO</t>
        </is>
      </c>
    </row>
    <row r="50">
      <c r="A50" s="2" t="inlineStr">
        <is>
          <t>CLOMAT, C.A.</t>
        </is>
      </c>
      <c r="B50" s="11" t="n">
        <v>75671.39999999999</v>
      </c>
      <c r="C50" s="11" t="n">
        <v>13449.56</v>
      </c>
      <c r="D50" s="11">
        <f>SUM(B50:C50)</f>
        <v/>
      </c>
      <c r="E50" s="14" t="n">
        <v>7</v>
      </c>
      <c r="G50" s="14" t="inlineStr">
        <is>
          <t>SUMINISTRO</t>
        </is>
      </c>
    </row>
    <row r="51">
      <c r="A51" s="2" t="inlineStr">
        <is>
          <t>INVERSIONES SANTA CRUZ,C.A.</t>
        </is>
      </c>
      <c r="B51" s="11" t="n">
        <v>5440.5</v>
      </c>
      <c r="C51" s="11" t="n">
        <v>12694.5</v>
      </c>
      <c r="D51" s="11">
        <f>SUM(B51:C51)</f>
        <v/>
      </c>
      <c r="E51" s="14" t="n">
        <v>5</v>
      </c>
      <c r="G51" s="14" t="inlineStr">
        <is>
          <t>SUMINISTRO</t>
        </is>
      </c>
    </row>
    <row r="52">
      <c r="A52" s="2" t="inlineStr">
        <is>
          <t>DISTRIBUIDORA NACIONAL DE MOTORES, C.A. (DINAMO)</t>
        </is>
      </c>
      <c r="B52" s="11" t="n">
        <v>23800</v>
      </c>
      <c r="C52" s="11" t="n">
        <v>10200</v>
      </c>
      <c r="D52" s="11">
        <f>SUM(B52:C52)</f>
        <v/>
      </c>
      <c r="E52" s="14" t="n">
        <v>6</v>
      </c>
      <c r="G52" s="14" t="inlineStr">
        <is>
          <t>SUMINISTRO</t>
        </is>
      </c>
    </row>
    <row r="53">
      <c r="A53" s="2" t="inlineStr">
        <is>
          <t>PARSERVICIOS INTEGRALES SA</t>
        </is>
      </c>
      <c r="B53" s="11" t="n">
        <v>0</v>
      </c>
      <c r="C53" s="11" t="n">
        <v>9950.459999999999</v>
      </c>
      <c r="D53" s="11">
        <f>SUM(B53:C53)</f>
        <v/>
      </c>
      <c r="E53" s="14" t="n">
        <v>1</v>
      </c>
      <c r="G53" s="14" t="inlineStr">
        <is>
          <t>SERVICIOS</t>
        </is>
      </c>
    </row>
    <row r="54">
      <c r="A54" s="2" t="inlineStr">
        <is>
          <t xml:space="preserve">IC SERVICIOS Y SUMINISTROS, C.A. </t>
        </is>
      </c>
      <c r="B54" s="11" t="n">
        <v>0</v>
      </c>
      <c r="C54" s="11" t="n">
        <v>8090</v>
      </c>
      <c r="D54" s="11">
        <f>SUM(B54:C54)</f>
        <v/>
      </c>
      <c r="E54" s="14" t="n">
        <v>3</v>
      </c>
      <c r="G54" s="14" t="inlineStr">
        <is>
          <t>SUMINISTRO-SERVICIOS</t>
        </is>
      </c>
    </row>
    <row r="55">
      <c r="A55" s="2" t="inlineStr">
        <is>
          <t>EDWIN CERQUERA OLAYA</t>
        </is>
      </c>
      <c r="B55" s="11" t="n">
        <v>0</v>
      </c>
      <c r="C55" s="11" t="n">
        <v>6975</v>
      </c>
      <c r="D55" s="11">
        <f>SUM(B55:C55)</f>
        <v/>
      </c>
      <c r="E55" s="14" t="n">
        <v>8</v>
      </c>
      <c r="G55" s="14" t="inlineStr">
        <is>
          <t>SERVICIOS</t>
        </is>
      </c>
    </row>
    <row r="56">
      <c r="A56" s="2" t="inlineStr">
        <is>
          <t>VALTRA, C.A.</t>
        </is>
      </c>
      <c r="B56" s="11" t="n">
        <v>6468.5</v>
      </c>
      <c r="C56" s="11" t="n">
        <v>6428.5</v>
      </c>
      <c r="D56" s="11">
        <f>SUM(B56:C56)</f>
        <v/>
      </c>
      <c r="E56" s="14" t="n">
        <v>6</v>
      </c>
      <c r="G56" s="14" t="inlineStr">
        <is>
          <t>SUMINISTRO</t>
        </is>
      </c>
    </row>
    <row r="57">
      <c r="A57" s="2" t="inlineStr">
        <is>
          <t>SERVICIOS Y CONSTRUCCIONES ARPA,C.A.</t>
        </is>
      </c>
      <c r="B57" s="11" t="n">
        <v>33300</v>
      </c>
      <c r="C57" s="11" t="n">
        <v>4800</v>
      </c>
      <c r="D57" s="11">
        <f>SUM(B57:C57)</f>
        <v/>
      </c>
      <c r="E57" s="14" t="n">
        <v>5</v>
      </c>
      <c r="G57" s="14" t="inlineStr">
        <is>
          <t>SERVICIOS</t>
        </is>
      </c>
    </row>
    <row r="58">
      <c r="A58" s="2" t="inlineStr">
        <is>
          <t>PETROBES, C.A.</t>
        </is>
      </c>
      <c r="B58" s="11" t="n">
        <v>14318</v>
      </c>
      <c r="C58" s="11" t="n">
        <v>4620</v>
      </c>
      <c r="D58" s="11">
        <f>SUM(B58:C58)</f>
        <v/>
      </c>
      <c r="E58" s="14" t="n">
        <v>7</v>
      </c>
      <c r="G58" s="14" t="inlineStr">
        <is>
          <t>SERVICIOS</t>
        </is>
      </c>
    </row>
    <row r="59">
      <c r="A59" s="2" t="inlineStr">
        <is>
          <t>CENTRO CLINICO DIVINO NIÑO, C.A.</t>
        </is>
      </c>
      <c r="B59" s="11" t="n">
        <v>2176</v>
      </c>
      <c r="C59" s="11" t="n">
        <v>3561</v>
      </c>
      <c r="D59" s="11">
        <f>SUM(B59:C59)</f>
        <v/>
      </c>
      <c r="E59" s="14" t="n">
        <v>2</v>
      </c>
      <c r="G59" s="14" t="inlineStr">
        <is>
          <t>SERVICIOS</t>
        </is>
      </c>
    </row>
    <row r="60">
      <c r="A60" s="2" t="inlineStr">
        <is>
          <t>OMICT SERVICES, C.A.</t>
        </is>
      </c>
      <c r="B60" s="11" t="n">
        <v>12250</v>
      </c>
      <c r="C60" s="11" t="n">
        <v>2870</v>
      </c>
      <c r="D60" s="11">
        <f>SUM(B60:C60)</f>
        <v/>
      </c>
      <c r="E60" s="14" t="n">
        <v>4</v>
      </c>
      <c r="G60" s="14" t="inlineStr">
        <is>
          <t>SERVICIOS</t>
        </is>
      </c>
    </row>
    <row r="61">
      <c r="A61" s="2" t="inlineStr">
        <is>
          <t>EDGAR QUEVEDO</t>
        </is>
      </c>
      <c r="B61" s="11" t="n">
        <v>0</v>
      </c>
      <c r="C61" s="11" t="n">
        <v>2000</v>
      </c>
      <c r="D61" s="11">
        <f>SUM(B61:C61)</f>
        <v/>
      </c>
      <c r="E61" s="14" t="n">
        <v>6</v>
      </c>
      <c r="G61" s="14" t="inlineStr">
        <is>
          <t>SUMINISTRO</t>
        </is>
      </c>
    </row>
    <row r="62">
      <c r="A62" s="2" t="inlineStr">
        <is>
          <t>INVERSIONES RESANSIL,C.A.</t>
        </is>
      </c>
      <c r="B62" s="11" t="n">
        <v>0</v>
      </c>
      <c r="C62" s="11" t="n">
        <v>2000</v>
      </c>
      <c r="D62" s="11">
        <f>SUM(B62:C62)</f>
        <v/>
      </c>
      <c r="E62" s="14" t="n">
        <v>5</v>
      </c>
      <c r="G62" s="14" t="inlineStr">
        <is>
          <t>SERVICIOS</t>
        </is>
      </c>
    </row>
    <row r="63">
      <c r="A63" s="2" t="inlineStr">
        <is>
          <t>DISTRIBUIDORA FLOR DE APURE, C.A.</t>
        </is>
      </c>
      <c r="B63" s="11" t="n">
        <v>11700</v>
      </c>
      <c r="C63" s="11" t="n">
        <v>1700</v>
      </c>
      <c r="D63" s="11">
        <f>SUM(B63:C63)</f>
        <v/>
      </c>
      <c r="E63" s="14" t="n">
        <v>9</v>
      </c>
      <c r="G63" s="14" t="inlineStr">
        <is>
          <t>SUMINISTRO</t>
        </is>
      </c>
    </row>
    <row r="64">
      <c r="A64" s="2" t="inlineStr">
        <is>
          <t>LUSORCA SUPPLY, S.A.</t>
        </is>
      </c>
      <c r="B64" s="11" t="n">
        <v>9059.92</v>
      </c>
      <c r="C64" s="11" t="n">
        <v>1449.59</v>
      </c>
      <c r="D64" s="11">
        <f>SUM(B64:C64)</f>
        <v/>
      </c>
      <c r="E64" s="14" t="n">
        <v>8</v>
      </c>
      <c r="G64" s="14" t="inlineStr">
        <is>
          <t>SUMINISTRO</t>
        </is>
      </c>
    </row>
    <row r="65">
      <c r="A65" s="2" t="inlineStr">
        <is>
          <t>ESPECIALISTAS EN BOMBEO ELECTROSUMERGIBLES, C.A.</t>
        </is>
      </c>
      <c r="B65" s="11" t="n">
        <v>39225.3</v>
      </c>
      <c r="C65" s="11" t="n">
        <v>1362</v>
      </c>
      <c r="D65" s="11">
        <f>SUM(B65:C65)</f>
        <v/>
      </c>
      <c r="E65" s="14" t="n">
        <v>8</v>
      </c>
      <c r="G65" s="14" t="inlineStr">
        <is>
          <t>SUMINISTRO</t>
        </is>
      </c>
    </row>
    <row r="66">
      <c r="A66" s="2" t="inlineStr">
        <is>
          <t xml:space="preserve">ASOC. COOP. 7 VENCEDORES 2003, R.L. </t>
        </is>
      </c>
      <c r="B66" s="11" t="n">
        <v>3536</v>
      </c>
      <c r="C66" s="11" t="n">
        <v>1190</v>
      </c>
      <c r="D66" s="11">
        <f>SUM(B66:C66)</f>
        <v/>
      </c>
      <c r="E66" s="14" t="n">
        <v>6</v>
      </c>
      <c r="G66" s="14" t="inlineStr">
        <is>
          <t>SERVICIOS</t>
        </is>
      </c>
    </row>
    <row r="67">
      <c r="A67" s="2" t="inlineStr">
        <is>
          <t>GRUPO TECNOLOGICO C,A,</t>
        </is>
      </c>
      <c r="B67" s="11" t="n">
        <v>27000</v>
      </c>
      <c r="C67" s="11" t="n">
        <v>1000</v>
      </c>
      <c r="D67" s="11">
        <f>SUM(B67:C67)</f>
        <v/>
      </c>
      <c r="E67" s="14" t="n">
        <v>6</v>
      </c>
      <c r="G67" s="14" t="inlineStr">
        <is>
          <t>SUMINISTRO</t>
        </is>
      </c>
    </row>
    <row r="68">
      <c r="A68" s="2" t="inlineStr">
        <is>
          <t>SUMINISTROS OCCIDENTE DE SEGURIDAD HIGIENE Y AMBIENTE, C.A. (SOSHICA)</t>
        </is>
      </c>
      <c r="B68" s="11" t="n">
        <v>10741</v>
      </c>
      <c r="C68" s="11" t="n">
        <v>651</v>
      </c>
      <c r="D68" s="11">
        <f>SUM(B68:C68)</f>
        <v/>
      </c>
      <c r="E68" s="14" t="n">
        <v>6</v>
      </c>
      <c r="G68" s="14" t="inlineStr">
        <is>
          <t>SUMINISTRO-SERVICIOS</t>
        </is>
      </c>
    </row>
    <row r="69">
      <c r="A69" s="2" t="inlineStr">
        <is>
          <t>WILLIAMS JOSE LOPEZ ESPINOZA</t>
        </is>
      </c>
      <c r="B69" s="11" t="n">
        <v>450</v>
      </c>
      <c r="C69" s="11" t="n">
        <v>450</v>
      </c>
      <c r="D69" s="11">
        <f>SUM(B69:C69)</f>
        <v/>
      </c>
      <c r="E69" s="14" t="n">
        <v>7</v>
      </c>
      <c r="G69" s="14" t="inlineStr">
        <is>
          <t>SUMINISTRO</t>
        </is>
      </c>
    </row>
    <row r="70">
      <c r="A70" s="2" t="inlineStr">
        <is>
          <t>SUBLIBUSTOS</t>
        </is>
      </c>
      <c r="B70" s="11" t="n">
        <v>0</v>
      </c>
      <c r="C70" s="11" t="n">
        <v>416.5</v>
      </c>
      <c r="D70" s="11">
        <f>SUM(B70:C70)</f>
        <v/>
      </c>
      <c r="E70" s="14" t="n">
        <v>5</v>
      </c>
      <c r="G70" s="14" t="inlineStr">
        <is>
          <t>SUMINISTRO</t>
        </is>
      </c>
    </row>
    <row r="71">
      <c r="A71" s="2" t="inlineStr">
        <is>
          <t xml:space="preserve"> DLD PUBLICIDAD</t>
        </is>
      </c>
      <c r="B71" s="11" t="n">
        <v>0</v>
      </c>
      <c r="C71" s="11" t="n">
        <v>185</v>
      </c>
      <c r="D71" s="11">
        <f>SUM(B71:C71)</f>
        <v/>
      </c>
      <c r="E71" s="14" t="n">
        <v>1</v>
      </c>
      <c r="G71" s="14" t="inlineStr">
        <is>
          <t>SERVICIOS</t>
        </is>
      </c>
    </row>
    <row r="72">
      <c r="A72" s="2" t="inlineStr">
        <is>
          <t>CONSTRUCCIONS, INVERSIONES Y SERVICIOS JS, C.A.</t>
        </is>
      </c>
      <c r="B72" s="11" t="n">
        <v>28793.06</v>
      </c>
      <c r="C72" s="11" t="n">
        <v>0</v>
      </c>
      <c r="D72" s="11">
        <f>SUM(B72:C72)</f>
        <v/>
      </c>
      <c r="E72" s="14" t="n">
        <v>3</v>
      </c>
      <c r="G72" s="14" t="inlineStr">
        <is>
          <t>SERVICIOS</t>
        </is>
      </c>
    </row>
    <row r="73">
      <c r="A73" s="2" t="inlineStr">
        <is>
          <t>INVERSIONES Y CONSTRUCCIONES SAN FRANCISCO SP</t>
        </is>
      </c>
      <c r="B73" s="11" t="n">
        <v>2193.74</v>
      </c>
      <c r="C73" s="11" t="n">
        <v>0</v>
      </c>
      <c r="D73" s="11">
        <f>SUM(B73:C73)</f>
        <v/>
      </c>
      <c r="E73" s="14" t="n">
        <v>4</v>
      </c>
      <c r="G73" s="14" t="inlineStr">
        <is>
          <t>SERVICIOS</t>
        </is>
      </c>
    </row>
    <row r="74">
      <c r="A74" s="2" t="inlineStr">
        <is>
          <t>APSU PROCESS MANAGEMENT,C.A.</t>
        </is>
      </c>
      <c r="B74" s="11" t="n">
        <v>38648</v>
      </c>
      <c r="C74" s="11" t="n">
        <v>0</v>
      </c>
      <c r="D74" s="11">
        <f>SUM(B74:C74)</f>
        <v/>
      </c>
      <c r="E74" s="14" t="n">
        <v>5</v>
      </c>
      <c r="G74" s="14" t="inlineStr">
        <is>
          <t>SERVICIOS</t>
        </is>
      </c>
    </row>
    <row r="75">
      <c r="A75" s="2" t="inlineStr">
        <is>
          <t>RODAMIENTOS Y ESTOPERAS DE LOS ANDES</t>
        </is>
      </c>
      <c r="B75" s="11" t="n">
        <v>3731.31</v>
      </c>
      <c r="C75" s="11" t="n">
        <v>0</v>
      </c>
      <c r="D75" s="11">
        <f>SUM(B75:C75)</f>
        <v/>
      </c>
      <c r="E75" s="14" t="n">
        <v>6</v>
      </c>
      <c r="G75" s="14" t="inlineStr">
        <is>
          <t>SUMINISTRO</t>
        </is>
      </c>
    </row>
    <row r="76">
      <c r="A76" s="2" t="inlineStr">
        <is>
          <t>LIMPIADORES INDUSTRIALES LIPESA,S.A.</t>
        </is>
      </c>
      <c r="B76" s="11" t="n">
        <v>30395</v>
      </c>
      <c r="C76" s="11" t="n">
        <v>0</v>
      </c>
      <c r="D76" s="11">
        <f>SUM(B76:C76)</f>
        <v/>
      </c>
      <c r="E76" s="14" t="n">
        <v>8</v>
      </c>
      <c r="G76" s="14" t="inlineStr">
        <is>
          <t>SUMINISTRO</t>
        </is>
      </c>
    </row>
    <row r="77">
      <c r="A77" s="2" t="inlineStr">
        <is>
          <t>RODEANDES</t>
        </is>
      </c>
      <c r="B77" s="11" t="n">
        <v>3855</v>
      </c>
      <c r="C77" s="11" t="n">
        <v>0</v>
      </c>
      <c r="D77" s="11">
        <f>SUM(B77:C77)</f>
        <v/>
      </c>
      <c r="E77" s="14" t="n">
        <v>6</v>
      </c>
      <c r="G77" s="14" t="inlineStr">
        <is>
          <t>SUMINISTRO</t>
        </is>
      </c>
    </row>
    <row r="78">
      <c r="A78" s="2" t="inlineStr">
        <is>
          <t>ANELECTRA, C.A.</t>
        </is>
      </c>
      <c r="B78" s="11" t="n">
        <v>13202.18</v>
      </c>
      <c r="C78" s="11" t="n">
        <v>0</v>
      </c>
      <c r="D78" s="11">
        <f>SUM(B78:C78)</f>
        <v/>
      </c>
      <c r="E78" s="14" t="n">
        <v>6</v>
      </c>
      <c r="G78" s="14" t="inlineStr">
        <is>
          <t>SUMINISTRO</t>
        </is>
      </c>
    </row>
    <row r="79">
      <c r="A79" s="2" t="inlineStr">
        <is>
          <t>SERV.DE TRASLADOS 7 VENCEDORES</t>
        </is>
      </c>
      <c r="B79" s="11" t="n">
        <v>2582</v>
      </c>
      <c r="C79" s="11" t="n">
        <v>0</v>
      </c>
      <c r="D79" s="11">
        <f>SUM(B79:C79)</f>
        <v/>
      </c>
      <c r="E79" s="14" t="n">
        <v>6</v>
      </c>
      <c r="G79" s="14" t="inlineStr">
        <is>
          <t>SERVICIOS</t>
        </is>
      </c>
    </row>
    <row r="80">
      <c r="A80" s="2" t="inlineStr">
        <is>
          <t>CONFECCIONES DIVINO NIÑO, C.A.</t>
        </is>
      </c>
      <c r="B80" s="11" t="n">
        <v>19080</v>
      </c>
      <c r="C80" s="11" t="n">
        <v>0</v>
      </c>
      <c r="D80" s="11">
        <f>SUM(B80:C80)</f>
        <v/>
      </c>
      <c r="E80" s="14" t="n">
        <v>4</v>
      </c>
      <c r="G80" s="14" t="inlineStr">
        <is>
          <t>SUMINISTRO</t>
        </is>
      </c>
    </row>
    <row r="81">
      <c r="A81" s="2" t="inlineStr">
        <is>
          <t>SERVICIOS GAMONTY, C.A</t>
        </is>
      </c>
      <c r="B81" s="11" t="n">
        <v>1635004.32</v>
      </c>
      <c r="C81" s="11" t="n">
        <v>0</v>
      </c>
      <c r="D81" s="11">
        <f>SUM(B81:C81)</f>
        <v/>
      </c>
      <c r="E81" s="14" t="n">
        <v>9</v>
      </c>
      <c r="G81" s="14" t="inlineStr">
        <is>
          <t>SERVICIOS</t>
        </is>
      </c>
    </row>
    <row r="82">
      <c r="A82" s="2" t="inlineStr">
        <is>
          <t xml:space="preserve"> CABILLAS DEL CENTRO, C.A</t>
        </is>
      </c>
      <c r="B82" s="11" t="n">
        <v>16343.24</v>
      </c>
      <c r="C82" s="11" t="n">
        <v>0</v>
      </c>
      <c r="D82" s="11">
        <f>SUM(B82:C82)</f>
        <v/>
      </c>
      <c r="E82" s="14" t="n">
        <v>9</v>
      </c>
      <c r="G82" s="14" t="inlineStr">
        <is>
          <t>SUMINISTRO</t>
        </is>
      </c>
    </row>
    <row r="83">
      <c r="A83" s="2" t="inlineStr">
        <is>
          <t>CONCRETERA INDUSTRIAL BARINAS, C.A.</t>
        </is>
      </c>
      <c r="B83" s="11" t="n">
        <v>5242.65</v>
      </c>
      <c r="C83" s="11" t="n">
        <v>0</v>
      </c>
      <c r="D83" s="11">
        <f>SUM(B83:C83)</f>
        <v/>
      </c>
      <c r="E83" s="14" t="n">
        <v>2</v>
      </c>
      <c r="G83" s="14" t="inlineStr">
        <is>
          <t>SUMINISTRO</t>
        </is>
      </c>
    </row>
    <row r="84">
      <c r="A84" s="2" t="inlineStr">
        <is>
          <t>CM SUMINISTROS ITS TIME C.A.</t>
        </is>
      </c>
      <c r="B84" s="11" t="n">
        <v>10418.7</v>
      </c>
      <c r="C84" s="11" t="n">
        <v>0</v>
      </c>
      <c r="D84" s="11">
        <f>SUM(B84:C84)</f>
        <v/>
      </c>
      <c r="E84" s="14" t="n">
        <v>5</v>
      </c>
      <c r="G84" s="14" t="inlineStr">
        <is>
          <t>SUMINISTRO</t>
        </is>
      </c>
    </row>
    <row r="85">
      <c r="A85" s="2" t="inlineStr">
        <is>
          <t>SERVICIOS Y SOLUCIONES F.J, C.A.</t>
        </is>
      </c>
      <c r="B85" s="11" t="n">
        <v>779937.6899999999</v>
      </c>
      <c r="C85" s="11" t="n">
        <v>0</v>
      </c>
      <c r="D85" s="11">
        <f>SUM(B85:C85)</f>
        <v/>
      </c>
      <c r="E85" s="14" t="n">
        <v>2</v>
      </c>
      <c r="G85" s="14" t="inlineStr">
        <is>
          <t>SERVICIOS</t>
        </is>
      </c>
    </row>
    <row r="86">
      <c r="A86" s="2" t="inlineStr">
        <is>
          <t>(en blanco)</t>
        </is>
      </c>
      <c r="B86" s="11" t="n">
        <v>0</v>
      </c>
      <c r="C86" s="11" t="n">
        <v>0</v>
      </c>
      <c r="D86" s="11">
        <f>SUM(B86:C86)</f>
        <v/>
      </c>
      <c r="E86" s="10" t="n"/>
      <c r="G86" s="10" t="n"/>
    </row>
    <row r="87">
      <c r="A87" s="2" t="inlineStr">
        <is>
          <t>SERVICIOS Y TRANSPORTE LA REPRESA, C.A.</t>
        </is>
      </c>
      <c r="B87" s="11" t="n">
        <v>3342.25</v>
      </c>
      <c r="C87" s="11" t="n">
        <v>0</v>
      </c>
      <c r="D87" s="11">
        <f>SUM(B87:C87)</f>
        <v/>
      </c>
      <c r="E87" s="14" t="n">
        <v>5</v>
      </c>
      <c r="G87" s="14" t="inlineStr">
        <is>
          <t>SERVICIOS</t>
        </is>
      </c>
    </row>
    <row r="88">
      <c r="A88" s="2" t="inlineStr">
        <is>
          <t>CONF. LORDIZ</t>
        </is>
      </c>
      <c r="B88" s="11" t="n">
        <v>864</v>
      </c>
      <c r="C88" s="11" t="n">
        <v>0</v>
      </c>
      <c r="D88" s="11">
        <f>SUM(B88:C88)</f>
        <v/>
      </c>
      <c r="E88" s="14" t="n">
        <v>5</v>
      </c>
      <c r="G88" s="14" t="inlineStr">
        <is>
          <t>SUMINISTRO</t>
        </is>
      </c>
    </row>
    <row r="89">
      <c r="A89" s="2" t="inlineStr">
        <is>
          <t>INDUSTRIAS OCCIDENTE,S.A.</t>
        </is>
      </c>
      <c r="B89" s="11" t="n">
        <v>32854</v>
      </c>
      <c r="C89" s="11" t="n">
        <v>0</v>
      </c>
      <c r="D89" s="11">
        <f>SUM(B89:C89)</f>
        <v/>
      </c>
      <c r="E89" s="14" t="n">
        <v>2</v>
      </c>
      <c r="G89" s="14" t="inlineStr">
        <is>
          <t>SUMINISTRO</t>
        </is>
      </c>
    </row>
    <row r="90">
      <c r="A90" s="2" t="inlineStr">
        <is>
          <t>L&amp;Q CONSULTORES SAFETY, C.A.</t>
        </is>
      </c>
      <c r="B90" s="11" t="n">
        <v>1250</v>
      </c>
      <c r="C90" s="11" t="n">
        <v>0</v>
      </c>
      <c r="D90" s="11">
        <f>SUM(B90:C90)</f>
        <v/>
      </c>
      <c r="E90" s="14" t="n">
        <v>2</v>
      </c>
      <c r="G90" s="14" t="inlineStr">
        <is>
          <t>SERVICIOS</t>
        </is>
      </c>
    </row>
    <row r="91">
      <c r="A91" s="2" t="inlineStr">
        <is>
          <t>INDUSTRIAS QUIMICAS ZOMALCA, C.A</t>
        </is>
      </c>
      <c r="B91" s="11" t="n">
        <v>122655.34</v>
      </c>
      <c r="C91" s="11" t="n">
        <v>0</v>
      </c>
      <c r="D91" s="11">
        <f>SUM(B91:C91)</f>
        <v/>
      </c>
      <c r="E91" s="14" t="n">
        <v>8</v>
      </c>
      <c r="G91" s="14" t="inlineStr">
        <is>
          <t>SUMINISTRO</t>
        </is>
      </c>
    </row>
    <row r="92">
      <c r="A92" s="2" t="inlineStr">
        <is>
          <t>TORINDUCA, C.A.</t>
        </is>
      </c>
      <c r="B92" s="11" t="n">
        <v>1285.31</v>
      </c>
      <c r="C92" s="11" t="n">
        <v>0</v>
      </c>
      <c r="D92" s="11">
        <f>SUM(B92:C92)</f>
        <v/>
      </c>
      <c r="E92" s="14" t="n">
        <v>7</v>
      </c>
      <c r="G92" s="14" t="inlineStr">
        <is>
          <t>SUMINISTRO</t>
        </is>
      </c>
    </row>
    <row r="93">
      <c r="A93" s="2" t="inlineStr">
        <is>
          <t>CONTRERAS SEGURIDAD INDUSTRIAL, C.A.</t>
        </is>
      </c>
      <c r="B93" s="11" t="n">
        <v>5832.2</v>
      </c>
      <c r="C93" s="11" t="n">
        <v>0</v>
      </c>
      <c r="D93" s="11">
        <f>SUM(B93:C93)</f>
        <v/>
      </c>
      <c r="E93" s="14" t="n">
        <v>2</v>
      </c>
      <c r="G93" s="14" t="inlineStr">
        <is>
          <t>SUMINISTRO-SERVICIOS</t>
        </is>
      </c>
    </row>
    <row r="94">
      <c r="A94" s="2" t="inlineStr">
        <is>
          <t>JOSE AMADO VALDEZ</t>
        </is>
      </c>
      <c r="B94" s="11" t="n">
        <v>2000</v>
      </c>
      <c r="C94" s="11" t="n">
        <v>0</v>
      </c>
      <c r="D94" s="11">
        <f>SUM(B94:C94)</f>
        <v/>
      </c>
      <c r="E94" s="14" t="n">
        <v>5</v>
      </c>
      <c r="G94" s="14" t="inlineStr">
        <is>
          <t>SERVICIOS</t>
        </is>
      </c>
    </row>
    <row r="95">
      <c r="A95" s="2" t="inlineStr">
        <is>
          <t>CONELCA,C.A.</t>
        </is>
      </c>
      <c r="B95" s="11" t="n">
        <v>496</v>
      </c>
      <c r="C95" s="11" t="n">
        <v>0</v>
      </c>
      <c r="D95" s="11">
        <f>SUM(B95:C95)</f>
        <v/>
      </c>
      <c r="E95" s="14" t="n">
        <v>5</v>
      </c>
      <c r="G95" s="14" t="inlineStr">
        <is>
          <t>SUMINISTRO</t>
        </is>
      </c>
    </row>
    <row r="96">
      <c r="A96" s="2" t="inlineStr">
        <is>
          <t>KENBRAN, C.A.</t>
        </is>
      </c>
      <c r="B96" s="11" t="n">
        <v>20000</v>
      </c>
      <c r="C96" s="11" t="n">
        <v>0</v>
      </c>
      <c r="D96" s="11">
        <f>SUM(B96:C96)</f>
        <v/>
      </c>
      <c r="E96" s="14" t="n">
        <v>8</v>
      </c>
      <c r="G96" s="14" t="inlineStr">
        <is>
          <t>SUMINISTRO</t>
        </is>
      </c>
    </row>
    <row r="97">
      <c r="A97" s="2" t="inlineStr">
        <is>
          <t>MULTISERVICIOS A37, C.A.</t>
        </is>
      </c>
      <c r="B97" s="11" t="n">
        <v>3825</v>
      </c>
      <c r="C97" s="11" t="n">
        <v>0</v>
      </c>
      <c r="D97" s="11">
        <f>SUM(B97:C97)</f>
        <v/>
      </c>
      <c r="E97" s="14" t="n">
        <v>4</v>
      </c>
      <c r="G97" s="14" t="inlineStr">
        <is>
          <t>SERVICIOS</t>
        </is>
      </c>
    </row>
    <row r="98">
      <c r="A98" s="2" t="inlineStr">
        <is>
          <t>RENSER-ORIENTE, C.A.</t>
        </is>
      </c>
      <c r="B98" s="11" t="n">
        <v>1462.26</v>
      </c>
      <c r="C98" s="11" t="n">
        <v>0</v>
      </c>
      <c r="D98" s="11">
        <f>SUM(B98:C98)</f>
        <v/>
      </c>
      <c r="E98" s="14" t="n">
        <v>2</v>
      </c>
      <c r="G98" s="14" t="inlineStr">
        <is>
          <t>SERVICIOS</t>
        </is>
      </c>
    </row>
    <row r="99">
      <c r="A99" s="2" t="inlineStr">
        <is>
          <t>LUIS VILLAMIZAR</t>
        </is>
      </c>
      <c r="B99" s="11" t="n">
        <v>25141.4</v>
      </c>
      <c r="C99" s="11" t="n">
        <v>0</v>
      </c>
      <c r="D99" s="11">
        <f>SUM(B99:C99)</f>
        <v/>
      </c>
      <c r="E99" s="14" t="n">
        <v>6</v>
      </c>
      <c r="G99" s="14" t="inlineStr">
        <is>
          <t>SUMINISTRO</t>
        </is>
      </c>
    </row>
    <row r="100">
      <c r="A100" s="2" t="inlineStr">
        <is>
          <t>NEOCAMIONES, C.A.</t>
        </is>
      </c>
      <c r="B100" s="11" t="n">
        <v>7195.92</v>
      </c>
      <c r="C100" s="11" t="n">
        <v>0</v>
      </c>
      <c r="D100" s="11">
        <f>SUM(B100:C100)</f>
        <v/>
      </c>
      <c r="E100" s="14" t="n">
        <v>2</v>
      </c>
      <c r="G100" s="14" t="inlineStr">
        <is>
          <t>SUMINISTRO</t>
        </is>
      </c>
    </row>
    <row r="101">
      <c r="A101" s="2" t="inlineStr">
        <is>
          <t>COLFISHING SERVICES SAS</t>
        </is>
      </c>
      <c r="B101" s="11" t="n">
        <v>173157.64</v>
      </c>
      <c r="C101" s="11" t="n">
        <v>0</v>
      </c>
      <c r="D101" s="11">
        <f>SUM(B101:C101)</f>
        <v/>
      </c>
      <c r="E101" s="14" t="n">
        <v>9</v>
      </c>
      <c r="G101" s="14" t="inlineStr">
        <is>
          <t>SERVICIOS</t>
        </is>
      </c>
    </row>
    <row r="102">
      <c r="A102" s="2" t="inlineStr">
        <is>
          <t>ASESORES EMPRESARIALES (CAEMCA), C.A.</t>
        </is>
      </c>
      <c r="B102" s="11" t="n">
        <v>2714.4</v>
      </c>
      <c r="C102" s="11" t="n">
        <v>0</v>
      </c>
      <c r="D102" s="11">
        <f>SUM(B102:C102)</f>
        <v/>
      </c>
      <c r="E102" s="14" t="n">
        <v>4</v>
      </c>
      <c r="G102" s="14" t="inlineStr">
        <is>
          <t>SERVICIOS</t>
        </is>
      </c>
    </row>
    <row r="103">
      <c r="A103" s="2" t="inlineStr">
        <is>
          <t>VENEZOLANA DE MECANICANIZADO C.A.</t>
        </is>
      </c>
      <c r="B103" s="11" t="n">
        <v>48148</v>
      </c>
      <c r="C103" s="11" t="n">
        <v>0</v>
      </c>
      <c r="D103" s="11">
        <f>SUM(B103:C103)</f>
        <v/>
      </c>
      <c r="E103" s="14" t="n">
        <v>5</v>
      </c>
      <c r="G103" s="14" t="inlineStr">
        <is>
          <t>SUMINISTRO</t>
        </is>
      </c>
    </row>
    <row r="104">
      <c r="A104" s="2" t="inlineStr">
        <is>
          <t>INTEVEP</t>
        </is>
      </c>
      <c r="B104" s="11" t="n">
        <v>47845.36</v>
      </c>
      <c r="C104" s="11" t="n">
        <v>0</v>
      </c>
      <c r="D104" s="11">
        <f>SUM(B104:C104)</f>
        <v/>
      </c>
      <c r="E104" s="14" t="n">
        <v>8</v>
      </c>
      <c r="G104" s="14" t="inlineStr">
        <is>
          <t>SERVICIOS</t>
        </is>
      </c>
    </row>
    <row r="105">
      <c r="A105" s="2" t="inlineStr">
        <is>
          <t>EDELCA</t>
        </is>
      </c>
      <c r="B105" s="11" t="n">
        <v>2100</v>
      </c>
      <c r="C105" s="11" t="n">
        <v>0</v>
      </c>
      <c r="D105" s="11">
        <f>SUM(B105:C105)</f>
        <v/>
      </c>
      <c r="E105" s="14" t="n">
        <v>8</v>
      </c>
      <c r="G105" s="14" t="inlineStr">
        <is>
          <t>SERVICIOS</t>
        </is>
      </c>
    </row>
    <row r="106">
      <c r="A106" s="2" t="inlineStr">
        <is>
          <t>TRANSPORTE Y CONSTRUCTORA CAMBALACHE, S.A.</t>
        </is>
      </c>
      <c r="B106" s="11" t="n">
        <v>1750</v>
      </c>
      <c r="C106" s="11" t="n">
        <v>0</v>
      </c>
      <c r="D106" s="11">
        <f>SUM(B106:C106)</f>
        <v/>
      </c>
      <c r="E106" s="14" t="n">
        <v>8</v>
      </c>
      <c r="G106" s="14" t="inlineStr">
        <is>
          <t>SERVICIOS</t>
        </is>
      </c>
    </row>
    <row r="107">
      <c r="A107" s="2" t="inlineStr">
        <is>
          <t>7 VENCEDORES</t>
        </is>
      </c>
      <c r="B107" s="11" t="n">
        <v>1025</v>
      </c>
      <c r="C107" s="11" t="n">
        <v>0</v>
      </c>
      <c r="D107" s="11">
        <f>SUM(B107:C107)</f>
        <v/>
      </c>
      <c r="E107" s="14" t="n">
        <v>3</v>
      </c>
      <c r="G107" s="14" t="inlineStr">
        <is>
          <t>SERVICIOS</t>
        </is>
      </c>
    </row>
    <row r="108">
      <c r="A108" s="2" t="inlineStr">
        <is>
          <t>ACOSTA SERVICIOS ESPECIALES, C.A. (ASECA)</t>
        </is>
      </c>
      <c r="B108" s="11" t="n">
        <v>463775.105</v>
      </c>
      <c r="C108" s="11" t="n">
        <v>-0.004999999975552782</v>
      </c>
      <c r="D108" s="11">
        <f>SUM(B108:C108)</f>
        <v/>
      </c>
      <c r="E108" s="14" t="n">
        <v>9</v>
      </c>
      <c r="G108" s="14" t="inlineStr">
        <is>
          <t>SERVICIOS</t>
        </is>
      </c>
    </row>
    <row r="109">
      <c r="A109" s="2" t="inlineStr">
        <is>
          <t>TOP DRIVE, S.A.</t>
        </is>
      </c>
      <c r="B109" s="11" t="n">
        <v>1579838.075006825</v>
      </c>
      <c r="C109" s="11" t="n">
        <v>-221909.2850068251</v>
      </c>
      <c r="D109" s="11">
        <f>SUM(B109:C109)</f>
        <v/>
      </c>
      <c r="E109" s="14" t="n">
        <v>10</v>
      </c>
      <c r="G109" s="14" t="inlineStr">
        <is>
          <t>SUMINISTRO-SERVICIOS</t>
        </is>
      </c>
    </row>
    <row r="110">
      <c r="A110" s="2" t="inlineStr">
        <is>
          <t>TOTAL</t>
        </is>
      </c>
      <c r="B110" s="11" t="n">
        <v>16798568.4529037</v>
      </c>
      <c r="C110" s="11" t="n">
        <v>10940777.2670963</v>
      </c>
      <c r="D110" s="11" t="n"/>
    </row>
    <row r="111">
      <c r="D111" s="11" t="n"/>
    </row>
    <row r="112">
      <c r="D112" s="11" t="n"/>
    </row>
    <row r="113"/>
    <row r="114"/>
    <row r="115"/>
    <row r="116"/>
  </sheetData>
  <mergeCells count="205">
    <mergeCell ref="G21:H21"/>
    <mergeCell ref="G81:H81"/>
    <mergeCell ref="E62:F62"/>
    <mergeCell ref="E71:F71"/>
    <mergeCell ref="G71:H71"/>
    <mergeCell ref="E23:F23"/>
    <mergeCell ref="G23:H23"/>
    <mergeCell ref="A1:A4"/>
    <mergeCell ref="G97:H97"/>
    <mergeCell ref="E8:F8"/>
    <mergeCell ref="E64:F64"/>
    <mergeCell ref="E79:F79"/>
    <mergeCell ref="E73:F73"/>
    <mergeCell ref="E51:F51"/>
    <mergeCell ref="E87:F87"/>
    <mergeCell ref="E63:F63"/>
    <mergeCell ref="G57:H57"/>
    <mergeCell ref="G66:H66"/>
    <mergeCell ref="G18:H18"/>
    <mergeCell ref="E65:F65"/>
    <mergeCell ref="E34:F34"/>
    <mergeCell ref="E105:F105"/>
    <mergeCell ref="G34:H34"/>
    <mergeCell ref="E99:F99"/>
    <mergeCell ref="G68:H68"/>
    <mergeCell ref="G108:H108"/>
    <mergeCell ref="E49:F49"/>
    <mergeCell ref="E27:F27"/>
    <mergeCell ref="G58:H58"/>
    <mergeCell ref="E36:F36"/>
    <mergeCell ref="E101:F101"/>
    <mergeCell ref="E91:F91"/>
    <mergeCell ref="G20:H20"/>
    <mergeCell ref="G91:H91"/>
    <mergeCell ref="E100:F100"/>
    <mergeCell ref="E85:F85"/>
    <mergeCell ref="G85:H85"/>
    <mergeCell ref="G100:H100"/>
    <mergeCell ref="G94:H94"/>
    <mergeCell ref="E75:F75"/>
    <mergeCell ref="E53:F53"/>
    <mergeCell ref="G84:H84"/>
    <mergeCell ref="G75:H75"/>
    <mergeCell ref="G22:H22"/>
    <mergeCell ref="G44:H44"/>
    <mergeCell ref="E93:F93"/>
    <mergeCell ref="E22:F22"/>
    <mergeCell ref="E102:F102"/>
    <mergeCell ref="G102:H102"/>
    <mergeCell ref="G59:H59"/>
    <mergeCell ref="E12:F12"/>
    <mergeCell ref="G12:H12"/>
    <mergeCell ref="G77:H77"/>
    <mergeCell ref="E55:F55"/>
    <mergeCell ref="G86:H86"/>
    <mergeCell ref="E67:F67"/>
    <mergeCell ref="G67:H67"/>
    <mergeCell ref="G61:H61"/>
    <mergeCell ref="E14:F14"/>
    <mergeCell ref="E48:F48"/>
    <mergeCell ref="G70:H70"/>
    <mergeCell ref="G48:H48"/>
    <mergeCell ref="E38:F38"/>
    <mergeCell ref="G38:H38"/>
    <mergeCell ref="G62:H62"/>
    <mergeCell ref="E40:F40"/>
    <mergeCell ref="G49:H49"/>
    <mergeCell ref="G24:H24"/>
    <mergeCell ref="E90:F90"/>
    <mergeCell ref="E104:F104"/>
    <mergeCell ref="G33:H33"/>
    <mergeCell ref="G104:H104"/>
    <mergeCell ref="G65:H65"/>
    <mergeCell ref="E26:F26"/>
    <mergeCell ref="G88:H88"/>
    <mergeCell ref="G26:H26"/>
    <mergeCell ref="G35:H35"/>
    <mergeCell ref="E16:F16"/>
    <mergeCell ref="E76:F76"/>
    <mergeCell ref="G16:H16"/>
    <mergeCell ref="E25:F25"/>
    <mergeCell ref="G76:H76"/>
    <mergeCell ref="G25:H25"/>
    <mergeCell ref="G90:H90"/>
    <mergeCell ref="G99:H99"/>
    <mergeCell ref="E66:F66"/>
    <mergeCell ref="G60:H60"/>
    <mergeCell ref="G9:H9"/>
    <mergeCell ref="E58:F58"/>
    <mergeCell ref="E18:F18"/>
    <mergeCell ref="E50:F50"/>
    <mergeCell ref="E68:F68"/>
    <mergeCell ref="G42:H42"/>
    <mergeCell ref="G11:H11"/>
    <mergeCell ref="E83:F83"/>
    <mergeCell ref="E52:F52"/>
    <mergeCell ref="E92:F92"/>
    <mergeCell ref="E39:F39"/>
    <mergeCell ref="G39:H39"/>
    <mergeCell ref="E44:F44"/>
    <mergeCell ref="E107:F107"/>
    <mergeCell ref="E20:F20"/>
    <mergeCell ref="E29:F29"/>
    <mergeCell ref="G101:H101"/>
    <mergeCell ref="E103:F103"/>
    <mergeCell ref="E94:F94"/>
    <mergeCell ref="G103:H103"/>
    <mergeCell ref="G37:H37"/>
    <mergeCell ref="E13:F13"/>
    <mergeCell ref="E69:F69"/>
    <mergeCell ref="E84:F84"/>
    <mergeCell ref="G13:H13"/>
    <mergeCell ref="G69:H69"/>
    <mergeCell ref="E78:F78"/>
    <mergeCell ref="G78:H78"/>
    <mergeCell ref="E31:F31"/>
    <mergeCell ref="G87:H87"/>
    <mergeCell ref="E59:F59"/>
    <mergeCell ref="E77:F77"/>
    <mergeCell ref="E108:F108"/>
    <mergeCell ref="E46:F46"/>
    <mergeCell ref="E86:F86"/>
    <mergeCell ref="G15:H15"/>
    <mergeCell ref="E15:F15"/>
    <mergeCell ref="E80:F80"/>
    <mergeCell ref="E95:F95"/>
    <mergeCell ref="G80:H80"/>
    <mergeCell ref="G95:H95"/>
    <mergeCell ref="E89:F89"/>
    <mergeCell ref="G89:H89"/>
    <mergeCell ref="E61:F61"/>
    <mergeCell ref="E70:F70"/>
    <mergeCell ref="G64:H64"/>
    <mergeCell ref="G79:H79"/>
    <mergeCell ref="G73:H73"/>
    <mergeCell ref="E57:F57"/>
    <mergeCell ref="G51:H51"/>
    <mergeCell ref="E54:F54"/>
    <mergeCell ref="E32:F32"/>
    <mergeCell ref="G54:H54"/>
    <mergeCell ref="E72:F72"/>
    <mergeCell ref="G32:H32"/>
    <mergeCell ref="E41:F41"/>
    <mergeCell ref="G63:H63"/>
    <mergeCell ref="E81:F81"/>
    <mergeCell ref="G41:H41"/>
    <mergeCell ref="G50:H50"/>
    <mergeCell ref="G106:H106"/>
    <mergeCell ref="E96:F96"/>
    <mergeCell ref="E56:F56"/>
    <mergeCell ref="G56:H56"/>
    <mergeCell ref="G96:H96"/>
    <mergeCell ref="E43:F43"/>
    <mergeCell ref="G105:H105"/>
    <mergeCell ref="G43:H43"/>
    <mergeCell ref="G52:H52"/>
    <mergeCell ref="E106:F106"/>
    <mergeCell ref="E24:F24"/>
    <mergeCell ref="E33:F33"/>
    <mergeCell ref="E98:F98"/>
    <mergeCell ref="G27:H27"/>
    <mergeCell ref="G98:H98"/>
    <mergeCell ref="E42:F42"/>
    <mergeCell ref="G36:H36"/>
    <mergeCell ref="G107:H107"/>
    <mergeCell ref="G8:H8"/>
    <mergeCell ref="E17:F17"/>
    <mergeCell ref="E88:F88"/>
    <mergeCell ref="G17:H17"/>
    <mergeCell ref="E82:F82"/>
    <mergeCell ref="G82:H82"/>
    <mergeCell ref="E35:F35"/>
    <mergeCell ref="E10:F10"/>
    <mergeCell ref="G10:H10"/>
    <mergeCell ref="E19:F19"/>
    <mergeCell ref="G19:H19"/>
    <mergeCell ref="E28:F28"/>
    <mergeCell ref="G53:H53"/>
    <mergeCell ref="G28:H28"/>
    <mergeCell ref="G93:H93"/>
    <mergeCell ref="E60:F60"/>
    <mergeCell ref="E9:F9"/>
    <mergeCell ref="E74:F74"/>
    <mergeCell ref="G74:H74"/>
    <mergeCell ref="G83:H83"/>
    <mergeCell ref="E30:F30"/>
    <mergeCell ref="G92:H92"/>
    <mergeCell ref="G30:H30"/>
    <mergeCell ref="E11:F11"/>
    <mergeCell ref="E45:F45"/>
    <mergeCell ref="G45:H45"/>
    <mergeCell ref="G14:H14"/>
    <mergeCell ref="G55:H55"/>
    <mergeCell ref="G29:H29"/>
    <mergeCell ref="G109:H109"/>
    <mergeCell ref="G47:H47"/>
    <mergeCell ref="E37:F37"/>
    <mergeCell ref="G31:H31"/>
    <mergeCell ref="G46:H46"/>
    <mergeCell ref="E97:F97"/>
    <mergeCell ref="G40:H40"/>
    <mergeCell ref="E109:F109"/>
    <mergeCell ref="E47:F47"/>
    <mergeCell ref="E21:F21"/>
    <mergeCell ref="G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10" defaultColWidth="11.44140625" defaultRowHeight="14.4"/>
  <sheetData>
    <row r="1">
      <c r="A1" t="inlineStr">
        <is>
          <t>Proveedor</t>
        </is>
      </c>
      <c r="B1" t="inlineStr">
        <is>
          <t>Total</t>
        </is>
      </c>
      <c r="C1" t="inlineStr">
        <is>
          <t>Pagado</t>
        </is>
      </c>
      <c r="D1" t="inlineStr">
        <is>
          <t>Por pagar</t>
        </is>
      </c>
      <c r="F1" t="inlineStr">
        <is>
          <t>Condición</t>
        </is>
      </c>
      <c r="G1" t="inlineStr">
        <is>
          <t>Total</t>
        </is>
      </c>
      <c r="I1" t="inlineStr">
        <is>
          <t>Mes</t>
        </is>
      </c>
      <c r="J1" t="inlineStr">
        <is>
          <t>Comprometido</t>
        </is>
      </c>
      <c r="K1" t="inlineStr">
        <is>
          <t>Pagado</t>
        </is>
      </c>
      <c r="L1" t="inlineStr">
        <is>
          <t>Por pagar</t>
        </is>
      </c>
      <c r="N1" t="inlineStr">
        <is>
          <t>Tipo</t>
        </is>
      </c>
      <c r="O1" t="inlineStr">
        <is>
          <t>Total</t>
        </is>
      </c>
      <c r="P1" t="inlineStr">
        <is>
          <t>Pagado</t>
        </is>
      </c>
      <c r="Q1" t="inlineStr">
        <is>
          <t>Por pagar</t>
        </is>
      </c>
    </row>
    <row r="2">
      <c r="A2" t="inlineStr">
        <is>
          <t>NEW TECH ALS, C.A.</t>
        </is>
      </c>
      <c r="B2" s="15" t="n">
        <v>7916693.25</v>
      </c>
      <c r="C2" s="15" t="n">
        <v>4815643.598677364</v>
      </c>
      <c r="D2" s="15" t="n">
        <v>2912941.741322636</v>
      </c>
      <c r="F2" t="inlineStr">
        <is>
          <t>COMPLETADA</t>
        </is>
      </c>
      <c r="G2" s="15" t="n">
        <v>17902558.04</v>
      </c>
      <c r="I2" t="inlineStr">
        <is>
          <t>2025-10</t>
        </is>
      </c>
      <c r="J2" s="15" t="n">
        <v>9850</v>
      </c>
      <c r="K2" s="15" t="n">
        <v>9850</v>
      </c>
      <c r="L2" s="15" t="n">
        <v>0</v>
      </c>
      <c r="N2" t="inlineStr">
        <is>
          <t>ODC</t>
        </is>
      </c>
      <c r="O2" s="15" t="n">
        <v>22130842.99999999</v>
      </c>
      <c r="P2" s="15" t="n">
        <v>12808243.81367736</v>
      </c>
      <c r="Q2" s="15" t="n">
        <v>9134491.276322637</v>
      </c>
    </row>
    <row r="3">
      <c r="A3" t="inlineStr">
        <is>
          <t>DISTRIBUIDORA FLOR DE APURE, C.A.</t>
        </is>
      </c>
      <c r="B3" s="15" t="n">
        <v>1937204.4</v>
      </c>
      <c r="C3" s="15" t="n">
        <v>0</v>
      </c>
      <c r="D3" s="15" t="n">
        <v>1937204.4</v>
      </c>
      <c r="F3" t="inlineStr">
        <is>
          <t>POR COMPLETAR</t>
        </is>
      </c>
      <c r="G3" s="15" t="n">
        <v>11629755.56</v>
      </c>
      <c r="I3" t="inlineStr">
        <is>
          <t>2025-11</t>
        </is>
      </c>
      <c r="J3" s="15" t="n">
        <v>142331.27</v>
      </c>
      <c r="K3" s="15" t="n">
        <v>142331.27</v>
      </c>
      <c r="L3" s="15" t="n">
        <v>0</v>
      </c>
      <c r="N3" t="inlineStr">
        <is>
          <t>ODS</t>
        </is>
      </c>
      <c r="O3" s="15" t="n">
        <v>7401470.600000001</v>
      </c>
      <c r="P3" s="15" t="n">
        <v>3203036.119226338</v>
      </c>
      <c r="Q3" s="15" t="n">
        <v>4198434.480773661</v>
      </c>
    </row>
    <row r="4">
      <c r="A4" t="inlineStr">
        <is>
          <t>NPO SERVICES, C.A</t>
        </is>
      </c>
      <c r="B4" s="15" t="n">
        <v>1129939.79</v>
      </c>
      <c r="C4" s="15" t="n">
        <v>0</v>
      </c>
      <c r="D4" s="15" t="n">
        <v>1129939.79</v>
      </c>
      <c r="I4" t="inlineStr">
        <is>
          <t>2025-12</t>
        </is>
      </c>
      <c r="J4" s="15" t="n">
        <v>1417331.46</v>
      </c>
      <c r="K4" s="15" t="n">
        <v>1417331.46</v>
      </c>
      <c r="L4" s="15" t="n">
        <v>0</v>
      </c>
    </row>
    <row r="5">
      <c r="A5" t="inlineStr">
        <is>
          <t>H&amp;B SERVICIOS GLOBAL C.A.</t>
        </is>
      </c>
      <c r="B5" s="15" t="n">
        <v>1785000</v>
      </c>
      <c r="C5" s="15" t="n">
        <v>817688</v>
      </c>
      <c r="D5" s="15" t="n">
        <v>967312</v>
      </c>
      <c r="I5" t="inlineStr">
        <is>
          <t>2026-01</t>
        </is>
      </c>
      <c r="J5" s="15" t="n">
        <v>936635.8200000001</v>
      </c>
      <c r="K5" s="15" t="n">
        <v>936635.8200000001</v>
      </c>
      <c r="L5" s="15" t="n">
        <v>0</v>
      </c>
    </row>
    <row r="6">
      <c r="A6" t="inlineStr">
        <is>
          <t>SELETRIX BARINAS C.A.</t>
        </is>
      </c>
      <c r="B6" s="15" t="n">
        <v>956808.79</v>
      </c>
      <c r="C6" s="15" t="n">
        <v>385757.6799999999</v>
      </c>
      <c r="D6" s="15" t="n">
        <v>571051.1100000001</v>
      </c>
      <c r="I6" t="inlineStr">
        <is>
          <t>2026-02</t>
        </is>
      </c>
      <c r="J6" s="15" t="n">
        <v>2865790.25</v>
      </c>
      <c r="K6" s="15" t="n">
        <v>2646848.515</v>
      </c>
      <c r="L6" s="15" t="n">
        <v>218941.735</v>
      </c>
    </row>
    <row r="7">
      <c r="A7" t="inlineStr">
        <is>
          <t>TAMORCA,C.A.</t>
        </is>
      </c>
      <c r="B7" s="15" t="n">
        <v>2146664.7</v>
      </c>
      <c r="C7" s="15" t="n">
        <v>1581141.23</v>
      </c>
      <c r="D7" s="15" t="n">
        <v>565523.47</v>
      </c>
      <c r="I7" t="inlineStr">
        <is>
          <t>2026-03</t>
        </is>
      </c>
      <c r="J7" s="15" t="n">
        <v>2439762.54</v>
      </c>
      <c r="K7" s="15" t="n">
        <v>2292337.02</v>
      </c>
      <c r="L7" s="15" t="n">
        <v>147425.52</v>
      </c>
    </row>
    <row r="8">
      <c r="A8" t="inlineStr">
        <is>
          <t>CORPORACION CARACAS, C.A.</t>
        </is>
      </c>
      <c r="B8" s="15" t="n">
        <v>593260.8</v>
      </c>
      <c r="C8" s="15" t="n">
        <v>59222.66</v>
      </c>
      <c r="D8" s="15" t="n">
        <v>534038.14</v>
      </c>
      <c r="I8" t="inlineStr">
        <is>
          <t>2026-04</t>
        </is>
      </c>
      <c r="J8" s="15" t="n">
        <v>3681338.129999999</v>
      </c>
      <c r="K8" s="15" t="n">
        <v>2041003.157219512</v>
      </c>
      <c r="L8" s="15" t="n">
        <v>1640334.972780488</v>
      </c>
    </row>
    <row r="9">
      <c r="A9" t="inlineStr">
        <is>
          <t>PIPE SUPPLY AND SERVICES SAS</t>
        </is>
      </c>
      <c r="B9" s="15" t="n">
        <v>507000</v>
      </c>
      <c r="C9" s="15" t="n">
        <v>0</v>
      </c>
      <c r="D9" s="15" t="n">
        <v>507000</v>
      </c>
      <c r="I9" t="inlineStr">
        <is>
          <t>2026-05</t>
        </is>
      </c>
      <c r="J9" s="15" t="n">
        <v>2234898.53</v>
      </c>
      <c r="K9" s="15" t="n">
        <v>1204140.92</v>
      </c>
      <c r="L9" s="15" t="n">
        <v>1030757.61</v>
      </c>
    </row>
    <row r="10">
      <c r="A10" t="inlineStr">
        <is>
          <t>ARKAN GRUPO INDUSTRIAL, C.A.</t>
        </is>
      </c>
      <c r="B10" s="15" t="n">
        <v>388070</v>
      </c>
      <c r="C10" s="15" t="n">
        <v>49878</v>
      </c>
      <c r="D10" s="15" t="n">
        <v>338192</v>
      </c>
      <c r="I10" t="inlineStr">
        <is>
          <t>2026-06</t>
        </is>
      </c>
      <c r="J10" s="15" t="n">
        <v>5985198.359999998</v>
      </c>
      <c r="K10" s="15" t="n">
        <v>1037780.71</v>
      </c>
      <c r="L10" s="15" t="n">
        <v>4947417.649999999</v>
      </c>
    </row>
    <row r="11">
      <c r="A11" t="inlineStr">
        <is>
          <t>NEW PROYECT, C.A</t>
        </is>
      </c>
      <c r="B11" s="15" t="n">
        <v>375407.36</v>
      </c>
      <c r="C11" s="15" t="n">
        <v>38837.04</v>
      </c>
      <c r="D11" s="15" t="n">
        <v>336570.32</v>
      </c>
      <c r="I11" t="inlineStr">
        <is>
          <t>2026-07</t>
        </is>
      </c>
      <c r="J11" s="15" t="n">
        <v>2392288.24</v>
      </c>
      <c r="K11" s="15" t="n">
        <v>521497.2899999999</v>
      </c>
      <c r="L11" s="15" t="n">
        <v>1870790.95</v>
      </c>
    </row>
    <row r="12">
      <c r="I12" t="inlineStr">
        <is>
          <t>2026-08</t>
        </is>
      </c>
      <c r="J12" s="15" t="n">
        <v>1103692.78</v>
      </c>
      <c r="K12" s="15" t="n">
        <v>343869.428677364</v>
      </c>
      <c r="L12" s="15" t="n">
        <v>759823.3513226361</v>
      </c>
    </row>
    <row r="13">
      <c r="I13" t="inlineStr">
        <is>
          <t>2026-09</t>
        </is>
      </c>
      <c r="J13" s="15" t="n">
        <v>1187547.65</v>
      </c>
      <c r="K13" s="15" t="n">
        <v>344389.6841941942</v>
      </c>
      <c r="L13" s="15" t="n">
        <v>843157.9658058059</v>
      </c>
    </row>
    <row r="14">
      <c r="I14" t="inlineStr">
        <is>
          <t>2026-10</t>
        </is>
      </c>
      <c r="J14" s="15" t="n">
        <v>816805.2300000001</v>
      </c>
      <c r="K14" s="15" t="n">
        <v>58065.29</v>
      </c>
      <c r="L14" s="15" t="n">
        <v>570632.03</v>
      </c>
    </row>
    <row r="15">
      <c r="I15" t="inlineStr">
        <is>
          <t>2026-11</t>
        </is>
      </c>
      <c r="J15" s="15" t="n">
        <v>18032.26</v>
      </c>
      <c r="K15" s="15" t="n">
        <v>18032.26</v>
      </c>
      <c r="L15" s="15" t="n">
        <v>0</v>
      </c>
    </row>
    <row r="16">
      <c r="I16" t="inlineStr">
        <is>
          <t>2026-12</t>
        </is>
      </c>
      <c r="J16" s="15" t="n">
        <v>1146450.14</v>
      </c>
      <c r="K16" s="15" t="n">
        <v>1180767.71</v>
      </c>
      <c r="L16" s="15" t="n">
        <v>-34317.5700000001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ISABEL SUAREZ</dc:creator>
  <dcterms:created xmlns:dcterms="http://purl.org/dc/terms/" xmlns:xsi="http://www.w3.org/2001/XMLSchema-instance" xsi:type="dcterms:W3CDTF">2025-12-04T16:36:56Z</dcterms:created>
  <dcterms:modified xmlns:dcterms="http://purl.org/dc/terms/" xmlns:xsi="http://www.w3.org/2001/XMLSchema-instance" xsi:type="dcterms:W3CDTF">2026-10-29T17:36:58Z</dcterms:modified>
  <cp:lastModifiedBy>Pool Facturas y Pagos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0x0101002E6F6BCBE2230E419AD043CEB181220E</vt:lpwstr>
  </property>
</Properties>
</file>