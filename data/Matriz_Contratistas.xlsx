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D2041"/>
      <sz val="14"/>
    </font>
    <font>
      <b val="1"/>
      <color rgb="001D2041"/>
    </font>
    <font>
      <b val="1"/>
      <color rgb="00FFFFFF"/>
    </font>
    <font>
      <b val="1"/>
    </font>
    <font>
      <i val="1"/>
      <color rgb="008A6D00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D2041"/>
      </patternFill>
    </fill>
    <fill>
      <patternFill patternType="solid">
        <fgColor rgb="00FFF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34" customWidth="1" min="4" max="4"/>
    <col width="6" customWidth="1" min="5" max="5"/>
    <col width="22" customWidth="1" min="6" max="6"/>
    <col width="18" customWidth="1" min="7" max="7"/>
    <col width="3" customWidth="1" min="8" max="8"/>
    <col width="34" customWidth="1" min="9" max="9"/>
    <col width="12" customWidth="1" min="10" max="10"/>
    <col width="16" customWidth="1" min="11" max="11"/>
  </cols>
  <sheetData>
    <row r="1">
      <c r="A1" s="1" t="inlineStr">
        <is>
          <t>Matriz de importancia operativa vs. monto — Cuentas por pagar COLVEN</t>
        </is>
      </c>
    </row>
    <row r="2">
      <c r="A2" s="2" t="inlineStr">
        <is>
          <t>Divisoria importancia (X):</t>
        </is>
      </c>
      <c r="B2" t="n">
        <v>5</v>
      </c>
      <c r="C2" s="2" t="inlineStr">
        <is>
          <t>Divisoria monto (Y) = promedio:</t>
        </is>
      </c>
      <c r="D2" s="3">
        <f>AVERAGE(C4:C500)</f>
        <v/>
      </c>
    </row>
    <row r="3" ht="32" customHeight="1">
      <c r="A3" s="4" t="inlineStr">
        <is>
          <t>Empresa</t>
        </is>
      </c>
      <c r="B3" s="4" t="inlineStr">
        <is>
          <t>Importancia operativa (1-10)</t>
        </is>
      </c>
      <c r="C3" s="4" t="inlineStr">
        <is>
          <t>Monto ($)</t>
        </is>
      </c>
      <c r="D3" s="4" t="inlineStr">
        <is>
          <t>Cuadrante</t>
        </is>
      </c>
      <c r="E3" s="4" t="inlineStr">
        <is>
          <t>Nº</t>
        </is>
      </c>
      <c r="F3" s="4" t="inlineStr">
        <is>
          <t>Tipo</t>
        </is>
      </c>
      <c r="G3" s="4" t="inlineStr">
        <is>
          <t>Histórico pagado ($)</t>
        </is>
      </c>
      <c r="I3" s="5" t="inlineStr">
        <is>
          <t>Cuadrante</t>
        </is>
      </c>
      <c r="J3" s="5" t="inlineStr">
        <is>
          <t>Nº empresas</t>
        </is>
      </c>
      <c r="K3" s="5" t="inlineStr">
        <is>
          <t>Monto total ($)</t>
        </is>
      </c>
    </row>
    <row r="4">
      <c r="A4" t="inlineStr">
        <is>
          <t>NEW TECH ALS, C.A.</t>
        </is>
      </c>
      <c r="B4" t="n">
        <v>9</v>
      </c>
      <c r="C4" s="3" t="n">
        <v>250000</v>
      </c>
      <c r="D4">
        <f>IF(OR(A4="",B4="",C4=""),"",IF(B4&gt;$B$2,IF(C4&gt;=$D$2,"1. Alta importancia / Alto monto","2. Alta importancia / Bajo monto"),IF(C4&gt;=$D$2,"3. Baja importancia / Alto monto","4. Baja importancia / Bajo monto")))</f>
        <v/>
      </c>
      <c r="E4" t="n">
        <v>1</v>
      </c>
      <c r="F4" s="6" t="inlineStr">
        <is>
          <t>Proveedor</t>
        </is>
      </c>
      <c r="G4" s="7" t="n">
        <v>681000</v>
      </c>
      <c r="I4" t="inlineStr">
        <is>
          <t>1. Alta importancia / Alto monto</t>
        </is>
      </c>
      <c r="J4">
        <f>COUNTIF($D$4:$D$500,I4)</f>
        <v/>
      </c>
      <c r="K4" s="3">
        <f>SUMIF($D$4:$D$500,I4,$C$4:$C$500)</f>
        <v/>
      </c>
    </row>
    <row r="5">
      <c r="A5" t="inlineStr">
        <is>
          <t>NPO SERVICES, C.A</t>
        </is>
      </c>
      <c r="B5" t="n">
        <v>10</v>
      </c>
      <c r="C5" s="3" t="n">
        <v>60000</v>
      </c>
      <c r="D5">
        <f>IF(OR(A5="",B5="",C5=""),"",IF(B5&gt;$B$2,IF(C5&gt;=$D$2,"1. Alta importancia / Alto monto","2. Alta importancia / Bajo monto"),IF(C5&gt;=$D$2,"3. Baja importancia / Alto monto","4. Baja importancia / Bajo monto")))</f>
        <v/>
      </c>
      <c r="E5" t="n">
        <v>2</v>
      </c>
      <c r="F5" s="6" t="inlineStr">
        <is>
          <t>Prestador de servicios</t>
        </is>
      </c>
      <c r="G5" s="7" t="n">
        <v>451000</v>
      </c>
      <c r="I5" t="inlineStr">
        <is>
          <t>2. Alta importancia / Bajo monto</t>
        </is>
      </c>
      <c r="J5">
        <f>COUNTIF($D$4:$D$500,I5)</f>
        <v/>
      </c>
      <c r="K5" s="3">
        <f>SUMIF($D$4:$D$500,I5,$C$4:$C$500)</f>
        <v/>
      </c>
    </row>
    <row r="6">
      <c r="A6" t="inlineStr">
        <is>
          <t>H&amp;B SERVICIOS GLOBAL C.A.</t>
        </is>
      </c>
      <c r="B6" t="n">
        <v>7</v>
      </c>
      <c r="C6" s="3" t="n">
        <v>180000</v>
      </c>
      <c r="D6">
        <f>IF(OR(A6="",B6="",C6=""),"",IF(B6&gt;$B$2,IF(C6&gt;=$D$2,"1. Alta importancia / Alto monto","2. Alta importancia / Bajo monto"),IF(C6&gt;=$D$2,"3. Baja importancia / Alto monto","4. Baja importancia / Bajo monto")))</f>
        <v/>
      </c>
      <c r="E6" t="n">
        <v>3</v>
      </c>
      <c r="F6" s="6" t="inlineStr">
        <is>
          <t>Prestador de servicios</t>
        </is>
      </c>
      <c r="G6" s="7" t="n">
        <v>449000</v>
      </c>
      <c r="I6" t="inlineStr">
        <is>
          <t>3. Baja importancia / Alto monto</t>
        </is>
      </c>
      <c r="J6">
        <f>COUNTIF($D$4:$D$500,I6)</f>
        <v/>
      </c>
      <c r="K6" s="3">
        <f>SUMIF($D$4:$D$500,I6,$C$4:$C$500)</f>
        <v/>
      </c>
    </row>
    <row r="7">
      <c r="A7" t="inlineStr">
        <is>
          <t>SELECTRI BARINAS C.A.</t>
        </is>
      </c>
      <c r="B7" t="n">
        <v>6</v>
      </c>
      <c r="C7" s="3" t="n">
        <v>25000</v>
      </c>
      <c r="D7">
        <f>IF(OR(A7="",B7="",C7=""),"",IF(B7&gt;$B$2,IF(C7&gt;=$D$2,"1. Alta importancia / Alto monto","2. Alta importancia / Bajo monto"),IF(C7&gt;=$D$2,"3. Baja importancia / Alto monto","4. Baja importancia / Bajo monto")))</f>
        <v/>
      </c>
      <c r="E7" t="n">
        <v>4</v>
      </c>
      <c r="F7" s="6" t="inlineStr">
        <is>
          <t>Proveedor</t>
        </is>
      </c>
      <c r="G7" s="7" t="n">
        <v>244000</v>
      </c>
      <c r="I7" t="inlineStr">
        <is>
          <t>4. Baja importancia / Bajo monto</t>
        </is>
      </c>
      <c r="J7">
        <f>COUNTIF($D$4:$D$500,I7)</f>
        <v/>
      </c>
      <c r="K7" s="3">
        <f>SUMIF($D$4:$D$500,I7,$C$4:$C$500)</f>
        <v/>
      </c>
    </row>
    <row r="8">
      <c r="A8" t="inlineStr">
        <is>
          <t>TAMORCA,C.A.</t>
        </is>
      </c>
      <c r="B8" t="n">
        <v>9</v>
      </c>
      <c r="C8" s="3" t="n">
        <v>120000</v>
      </c>
      <c r="D8">
        <f>IF(OR(A8="",B8="",C8=""),"",IF(B8&gt;$B$2,IF(C8&gt;=$D$2,"1. Alta importancia / Alto monto","2. Alta importancia / Bajo monto"),IF(C8&gt;=$D$2,"3. Baja importancia / Alto monto","4. Baja importancia / Bajo monto")))</f>
        <v/>
      </c>
      <c r="E8" t="n">
        <v>5</v>
      </c>
      <c r="F8" s="6" t="inlineStr">
        <is>
          <t>Prestador de servicios</t>
        </is>
      </c>
      <c r="G8" s="7" t="n">
        <v>729000</v>
      </c>
      <c r="I8" s="8" t="inlineStr">
        <is>
          <t>Total</t>
        </is>
      </c>
      <c r="J8" s="8">
        <f>SUM(J4:J7)</f>
        <v/>
      </c>
      <c r="K8" s="9">
        <f>SUM(K4:K7)</f>
        <v/>
      </c>
    </row>
    <row r="9">
      <c r="A9" t="inlineStr">
        <is>
          <t>CORPORACION CARACAS, C.A.</t>
        </is>
      </c>
      <c r="B9" t="n">
        <v>2</v>
      </c>
      <c r="C9" s="3" t="n">
        <v>40000</v>
      </c>
      <c r="D9">
        <f>IF(OR(A9="",B9="",C9=""),"",IF(B9&gt;$B$2,IF(C9&gt;=$D$2,"1. Alta importancia / Alto monto","2. Alta importancia / Bajo monto"),IF(C9&gt;=$D$2,"3. Baja importancia / Alto monto","4. Baja importancia / Bajo monto")))</f>
        <v/>
      </c>
      <c r="E9" t="n">
        <v>6</v>
      </c>
      <c r="F9" s="6" t="inlineStr">
        <is>
          <t>Prestador de servicios</t>
        </is>
      </c>
      <c r="G9" s="7" t="n">
        <v>363000</v>
      </c>
    </row>
    <row r="10">
      <c r="A10" t="inlineStr">
        <is>
          <t>ARKAN GRUPO INDUSTRIAL, C.A.</t>
        </is>
      </c>
      <c r="B10" t="n">
        <v>7</v>
      </c>
      <c r="C10" s="3" t="n">
        <v>90000</v>
      </c>
      <c r="D10">
        <f>IF(OR(A10="",B10="",C10=""),"",IF(B10&gt;$B$2,IF(C10&gt;=$D$2,"1. Alta importancia / Alto monto","2. Alta importancia / Bajo monto"),IF(C10&gt;=$D$2,"3. Baja importancia / Alto monto","4. Baja importancia / Bajo monto")))</f>
        <v/>
      </c>
      <c r="E10" t="n">
        <v>7</v>
      </c>
      <c r="F10" s="6" t="inlineStr">
        <is>
          <t>Proveedor</t>
        </is>
      </c>
      <c r="G10" s="7" t="n">
        <v>398000</v>
      </c>
      <c r="I10" s="10" t="inlineStr">
        <is>
          <t>Celdas en amarillo claro = cifras / tipos de EJEMPLO para el prototipo. Reemplazar por los datos reales.</t>
        </is>
      </c>
    </row>
    <row r="11">
      <c r="A11" t="inlineStr">
        <is>
          <t>INVERSIONES LLANOTEC</t>
        </is>
      </c>
      <c r="B11" t="n">
        <v>6</v>
      </c>
      <c r="C11" s="3" t="n">
        <v>300000</v>
      </c>
      <c r="D11">
        <f>IF(OR(A11="",B11="",C11=""),"",IF(B11&gt;$B$2,IF(C11&gt;=$D$2,"1. Alta importancia / Alto monto","2. Alta importancia / Bajo monto"),IF(C11&gt;=$D$2,"3. Baja importancia / Alto monto","4. Baja importancia / Bajo monto")))</f>
        <v/>
      </c>
      <c r="E11" t="n">
        <v>8</v>
      </c>
      <c r="F11" s="6" t="inlineStr">
        <is>
          <t>Proveedor</t>
        </is>
      </c>
      <c r="G11" s="7" t="n">
        <v>2021000</v>
      </c>
      <c r="I11" s="11" t="inlineStr">
        <is>
          <t>Columna Tipo: escribir "Proveedor", "Prestador de servicios" o "Ambos".</t>
        </is>
      </c>
    </row>
    <row r="12">
      <c r="A12" t="inlineStr">
        <is>
          <t>SOLTECH MTS GROUP, C.A</t>
        </is>
      </c>
      <c r="B12" t="n">
        <v>8</v>
      </c>
      <c r="C12" s="7" t="n">
        <v>218000</v>
      </c>
      <c r="D12">
        <f>IF(OR(A12="",B12="",C12=""),"",IF(B12&gt;$B$2,IF(C12&gt;=$D$2,"1. Alta importancia / Alto monto","2. Alta importancia / Bajo monto"),IF(C12&gt;=$D$2,"3. Baja importancia / Alto monto","4. Baja importancia / Bajo monto")))</f>
        <v/>
      </c>
      <c r="E12" t="n">
        <v>9</v>
      </c>
      <c r="F12" s="6" t="inlineStr">
        <is>
          <t>Proveedor</t>
        </is>
      </c>
      <c r="G12" s="7" t="n">
        <v>1273000</v>
      </c>
    </row>
    <row r="13">
      <c r="A13" t="inlineStr">
        <is>
          <t>SOSHICA</t>
        </is>
      </c>
      <c r="B13" t="n">
        <v>4</v>
      </c>
      <c r="C13" s="7" t="n">
        <v>38000</v>
      </c>
      <c r="D13">
        <f>IF(OR(A13="",B13="",C13=""),"",IF(B13&gt;$B$2,IF(C13&gt;=$D$2,"1. Alta importancia / Alto monto","2. Alta importancia / Bajo monto"),IF(C13&gt;=$D$2,"3. Baja importancia / Alto monto","4. Baja importancia / Bajo monto")))</f>
        <v/>
      </c>
      <c r="E13" t="n">
        <v>10</v>
      </c>
      <c r="F13" s="6" t="inlineStr">
        <is>
          <t>Proveedor</t>
        </is>
      </c>
      <c r="G13" s="7" t="n">
        <v>253000</v>
      </c>
    </row>
    <row r="14">
      <c r="A14" t="inlineStr">
        <is>
          <t>CONSTRUCTORA KVA C.A.</t>
        </is>
      </c>
      <c r="B14" t="n">
        <v>7</v>
      </c>
      <c r="C14" s="3" t="n">
        <v>100000</v>
      </c>
      <c r="D14">
        <f>IF(OR(A14="",B14="",C14=""),"",IF(B14&gt;$B$2,IF(C14&gt;=$D$2,"1. Alta importancia / Alto monto","2. Alta importancia / Bajo monto"),IF(C14&gt;=$D$2,"3. Baja importancia / Alto monto","4. Baja importancia / Bajo monto")))</f>
        <v/>
      </c>
      <c r="E14" t="n">
        <v>11</v>
      </c>
      <c r="F14" s="6" t="inlineStr">
        <is>
          <t>Proveedor</t>
        </is>
      </c>
      <c r="G14" s="7" t="n">
        <v>606000</v>
      </c>
    </row>
    <row r="15">
      <c r="A15" t="inlineStr">
        <is>
          <t>CIMA TECH, C.A.</t>
        </is>
      </c>
      <c r="B15" t="n">
        <v>3</v>
      </c>
      <c r="C15" s="7" t="n">
        <v>69000</v>
      </c>
      <c r="D15">
        <f>IF(OR(A15="",B15="",C15=""),"",IF(B15&gt;$B$2,IF(C15&gt;=$D$2,"1. Alta importancia / Alto monto","2. Alta importancia / Bajo monto"),IF(C15&gt;=$D$2,"3. Baja importancia / Alto monto","4. Baja importancia / Bajo monto")))</f>
        <v/>
      </c>
      <c r="E15" t="n">
        <v>12</v>
      </c>
      <c r="F15" s="6" t="inlineStr">
        <is>
          <t>Proveedor</t>
        </is>
      </c>
      <c r="G15" s="7" t="n">
        <v>266000</v>
      </c>
    </row>
    <row r="16">
      <c r="A16" t="inlineStr">
        <is>
          <t>PEDRO PANZA</t>
        </is>
      </c>
      <c r="B16" t="n">
        <v>3</v>
      </c>
      <c r="C16" s="7" t="n">
        <v>28000</v>
      </c>
      <c r="D16">
        <f>IF(OR(A16="",B16="",C16=""),"",IF(B16&gt;$B$2,IF(C16&gt;=$D$2,"1. Alta importancia / Alto monto","2. Alta importancia / Bajo monto"),IF(C16&gt;=$D$2,"3. Baja importancia / Alto monto","4. Baja importancia / Bajo monto")))</f>
        <v/>
      </c>
      <c r="E16" t="n">
        <v>13</v>
      </c>
      <c r="F16" s="6" t="inlineStr">
        <is>
          <t>Proveedor</t>
        </is>
      </c>
      <c r="G16" s="7" t="n">
        <v>246000</v>
      </c>
    </row>
    <row r="17">
      <c r="A17" t="inlineStr">
        <is>
          <t>INTEGRAL CORP GROUP, C.A.</t>
        </is>
      </c>
      <c r="B17" t="n">
        <v>5</v>
      </c>
      <c r="C17" s="7" t="n">
        <v>42000</v>
      </c>
      <c r="D17">
        <f>IF(OR(A17="",B17="",C17=""),"",IF(B17&gt;$B$2,IF(C17&gt;=$D$2,"1. Alta importancia / Alto monto","2. Alta importancia / Bajo monto"),IF(C17&gt;=$D$2,"3. Baja importancia / Alto monto","4. Baja importancia / Bajo monto")))</f>
        <v/>
      </c>
      <c r="E17" t="n">
        <v>14</v>
      </c>
      <c r="F17" s="6" t="inlineStr">
        <is>
          <t>Proveedor</t>
        </is>
      </c>
      <c r="G17" s="7" t="n">
        <v>319000</v>
      </c>
    </row>
    <row r="18">
      <c r="A18" t="inlineStr">
        <is>
          <t>MEREY ENERGY 58 C.A. (AUT.IOSA)</t>
        </is>
      </c>
      <c r="B18" t="n">
        <v>5</v>
      </c>
      <c r="C18" s="7" t="n">
        <v>22000</v>
      </c>
      <c r="D18">
        <f>IF(OR(A18="",B18="",C18=""),"",IF(B18&gt;$B$2,IF(C18&gt;=$D$2,"1. Alta importancia / Alto monto","2. Alta importancia / Bajo monto"),IF(C18&gt;=$D$2,"3. Baja importancia / Alto monto","4. Baja importancia / Bajo monto")))</f>
        <v/>
      </c>
      <c r="E18" t="n">
        <v>15</v>
      </c>
      <c r="F18" s="6" t="inlineStr">
        <is>
          <t>Ambos</t>
        </is>
      </c>
      <c r="G18" s="7" t="n">
        <v>256000</v>
      </c>
    </row>
    <row r="19">
      <c r="A19" t="inlineStr">
        <is>
          <t>D&amp;P, C.A.</t>
        </is>
      </c>
      <c r="B19" t="n">
        <v>6</v>
      </c>
      <c r="C19" s="7" t="n">
        <v>10000</v>
      </c>
      <c r="D19">
        <f>IF(OR(A19="",B19="",C19=""),"",IF(B19&gt;$B$2,IF(C19&gt;=$D$2,"1. Alta importancia / Alto monto","2. Alta importancia / Bajo monto"),IF(C19&gt;=$D$2,"3. Baja importancia / Alto monto","4. Baja importancia / Bajo monto")))</f>
        <v/>
      </c>
      <c r="E19" t="n">
        <v>16</v>
      </c>
      <c r="F19" s="6" t="inlineStr">
        <is>
          <t>Prestador de servicios</t>
        </is>
      </c>
      <c r="G19" s="7" t="n">
        <v>145000</v>
      </c>
    </row>
    <row r="20">
      <c r="A20" t="inlineStr">
        <is>
          <t>INVERSIONES DINOR C.A.</t>
        </is>
      </c>
      <c r="B20" t="n">
        <v>6</v>
      </c>
      <c r="C20" s="7" t="n">
        <v>199000</v>
      </c>
      <c r="D20">
        <f>IF(OR(A20="",B20="",C20=""),"",IF(B20&gt;$B$2,IF(C20&gt;=$D$2,"1. Alta importancia / Alto monto","2. Alta importancia / Bajo monto"),IF(C20&gt;=$D$2,"3. Baja importancia / Alto monto","4. Baja importancia / Bajo monto")))</f>
        <v/>
      </c>
      <c r="E20" t="n">
        <v>17</v>
      </c>
      <c r="F20" s="6" t="inlineStr">
        <is>
          <t>Proveedor</t>
        </is>
      </c>
      <c r="G20" s="7" t="n">
        <v>954000</v>
      </c>
    </row>
    <row r="21">
      <c r="A21" t="inlineStr">
        <is>
          <t>CONSTRUSERVICIOS GREGOCHAR, C.A.</t>
        </is>
      </c>
      <c r="B21" t="n">
        <v>3</v>
      </c>
      <c r="C21" s="7" t="n">
        <v>40000</v>
      </c>
      <c r="D21">
        <f>IF(OR(A21="",B21="",C21=""),"",IF(B21&gt;$B$2,IF(C21&gt;=$D$2,"1. Alta importancia / Alto monto","2. Alta importancia / Bajo monto"),IF(C21&gt;=$D$2,"3. Baja importancia / Alto monto","4. Baja importancia / Bajo monto")))</f>
        <v/>
      </c>
      <c r="E21" t="n">
        <v>18</v>
      </c>
      <c r="F21" s="6" t="inlineStr">
        <is>
          <t>Prestador de servicios</t>
        </is>
      </c>
      <c r="G21" s="7" t="n">
        <v>291000</v>
      </c>
    </row>
    <row r="22">
      <c r="A22" t="inlineStr">
        <is>
          <t>LATAM ENERGY SOLUTIONS, SAS</t>
        </is>
      </c>
      <c r="B22" t="n">
        <v>6</v>
      </c>
      <c r="C22" s="7" t="n">
        <v>44000</v>
      </c>
      <c r="D22">
        <f>IF(OR(A22="",B22="",C22=""),"",IF(B22&gt;$B$2,IF(C22&gt;=$D$2,"1. Alta importancia / Alto monto","2. Alta importancia / Bajo monto"),IF(C22&gt;=$D$2,"3. Baja importancia / Alto monto","4. Baja importancia / Bajo monto")))</f>
        <v/>
      </c>
      <c r="E22" t="n">
        <v>19</v>
      </c>
      <c r="F22" s="6" t="inlineStr">
        <is>
          <t>Prestador de servicios</t>
        </is>
      </c>
      <c r="G22" s="7" t="n">
        <v>392000</v>
      </c>
    </row>
    <row r="23">
      <c r="A23" t="inlineStr">
        <is>
          <t>DECARB 2 GO INC.</t>
        </is>
      </c>
      <c r="B23" t="n">
        <v>4</v>
      </c>
      <c r="C23" s="7" t="n">
        <v>66000</v>
      </c>
      <c r="D23">
        <f>IF(OR(A23="",B23="",C23=""),"",IF(B23&gt;$B$2,IF(C23&gt;=$D$2,"1. Alta importancia / Alto monto","2. Alta importancia / Bajo monto"),IF(C23&gt;=$D$2,"3. Baja importancia / Alto monto","4. Baja importancia / Bajo monto")))</f>
        <v/>
      </c>
      <c r="E23" t="n">
        <v>20</v>
      </c>
      <c r="F23" s="6" t="inlineStr">
        <is>
          <t>Proveedor</t>
        </is>
      </c>
      <c r="G23" s="7" t="n">
        <v>393000</v>
      </c>
    </row>
    <row r="24">
      <c r="A24" t="inlineStr">
        <is>
          <t>RLR, S.A.S.</t>
        </is>
      </c>
      <c r="B24" t="n">
        <v>7</v>
      </c>
      <c r="C24" s="7" t="n">
        <v>109000</v>
      </c>
      <c r="D24">
        <f>IF(OR(A24="",B24="",C24=""),"",IF(B24&gt;$B$2,IF(C24&gt;=$D$2,"1. Alta importancia / Alto monto","2. Alta importancia / Bajo monto"),IF(C24&gt;=$D$2,"3. Baja importancia / Alto monto","4. Baja importancia / Bajo monto")))</f>
        <v/>
      </c>
      <c r="E24" t="n">
        <v>21</v>
      </c>
      <c r="F24" s="6" t="inlineStr">
        <is>
          <t>Prestador de servicios</t>
        </is>
      </c>
      <c r="G24" s="7" t="n">
        <v>594000</v>
      </c>
    </row>
    <row r="25">
      <c r="A25" t="inlineStr">
        <is>
          <t>ASOCIACION COOPERATIVA SINAT-57, R.L.</t>
        </is>
      </c>
      <c r="B25" t="n">
        <v>3</v>
      </c>
      <c r="C25" s="7" t="n">
        <v>85000</v>
      </c>
      <c r="D25">
        <f>IF(OR(A25="",B25="",C25=""),"",IF(B25&gt;$B$2,IF(C25&gt;=$D$2,"1. Alta importancia / Alto monto","2. Alta importancia / Bajo monto"),IF(C25&gt;=$D$2,"3. Baja importancia / Alto monto","4. Baja importancia / Bajo monto")))</f>
        <v/>
      </c>
      <c r="E25" t="n">
        <v>22</v>
      </c>
      <c r="F25" s="6" t="inlineStr">
        <is>
          <t>Prestador de servicios</t>
        </is>
      </c>
      <c r="G25" s="7" t="n">
        <v>623000</v>
      </c>
    </row>
    <row r="26">
      <c r="A26" t="inlineStr">
        <is>
          <t>SERVICIO DE CARACTERIZACION AMBIENTAL DE EFLUENTES LIQUIDOS</t>
        </is>
      </c>
      <c r="B26" t="n">
        <v>2</v>
      </c>
      <c r="C26" s="7" t="n">
        <v>111000</v>
      </c>
      <c r="D26">
        <f>IF(OR(A26="",B26="",C26=""),"",IF(B26&gt;$B$2,IF(C26&gt;=$D$2,"1. Alta importancia / Alto monto","2. Alta importancia / Bajo monto"),IF(C26&gt;=$D$2,"3. Baja importancia / Alto monto","4. Baja importancia / Bajo monto")))</f>
        <v/>
      </c>
      <c r="E26" t="n">
        <v>23</v>
      </c>
      <c r="F26" s="6" t="inlineStr">
        <is>
          <t>Prestador de servicios</t>
        </is>
      </c>
      <c r="G26" s="7" t="n">
        <v>611000</v>
      </c>
    </row>
    <row r="27">
      <c r="A27" t="inlineStr">
        <is>
          <t>CAMIMPEG, C.A.</t>
        </is>
      </c>
      <c r="B27" t="n">
        <v>8</v>
      </c>
      <c r="C27" s="7" t="n">
        <v>49000</v>
      </c>
      <c r="D27">
        <f>IF(OR(A27="",B27="",C27=""),"",IF(B27&gt;$B$2,IF(C27&gt;=$D$2,"1. Alta importancia / Alto monto","2. Alta importancia / Bajo monto"),IF(C27&gt;=$D$2,"3. Baja importancia / Alto monto","4. Baja importancia / Bajo monto")))</f>
        <v/>
      </c>
      <c r="E27" t="n">
        <v>24</v>
      </c>
      <c r="F27" s="6" t="inlineStr">
        <is>
          <t>Ambos</t>
        </is>
      </c>
      <c r="G27" s="7" t="n">
        <v>260000</v>
      </c>
    </row>
    <row r="28">
      <c r="A28" t="inlineStr">
        <is>
          <t>INVERSIONES SANTA CRUZ C.A.</t>
        </is>
      </c>
      <c r="B28" t="n">
        <v>7</v>
      </c>
      <c r="C28" s="7" t="n">
        <v>88000</v>
      </c>
      <c r="D28">
        <f>IF(OR(A28="",B28="",C28=""),"",IF(B28&gt;$B$2,IF(C28&gt;=$D$2,"1. Alta importancia / Alto monto","2. Alta importancia / Bajo monto"),IF(C28&gt;=$D$2,"3. Baja importancia / Alto monto","4. Baja importancia / Bajo monto")))</f>
        <v/>
      </c>
      <c r="E28" t="n">
        <v>25</v>
      </c>
      <c r="F28" s="6" t="inlineStr">
        <is>
          <t>Proveedor</t>
        </is>
      </c>
      <c r="G28" s="7" t="n">
        <v>387000</v>
      </c>
    </row>
    <row r="29">
      <c r="A29" t="inlineStr">
        <is>
          <t>FORTIA ENERGY &amp; SERVICIOS, C.A.</t>
        </is>
      </c>
      <c r="B29" t="n">
        <v>6</v>
      </c>
      <c r="C29" s="7" t="n">
        <v>78000</v>
      </c>
      <c r="D29">
        <f>IF(OR(A29="",B29="",C29=""),"",IF(B29&gt;$B$2,IF(C29&gt;=$D$2,"1. Alta importancia / Alto monto","2. Alta importancia / Bajo monto"),IF(C29&gt;=$D$2,"3. Baja importancia / Alto monto","4. Baja importancia / Bajo monto")))</f>
        <v/>
      </c>
      <c r="E29" t="n">
        <v>26</v>
      </c>
      <c r="F29" s="6" t="inlineStr">
        <is>
          <t>Prestador de servicios</t>
        </is>
      </c>
      <c r="G29" s="7" t="n">
        <v>563000</v>
      </c>
    </row>
    <row r="30">
      <c r="A30" t="inlineStr">
        <is>
          <t>EXTIN-PRO-BA, C.A.</t>
        </is>
      </c>
      <c r="B30" t="n">
        <v>2</v>
      </c>
      <c r="C30" s="7" t="n">
        <v>60000</v>
      </c>
      <c r="D30">
        <f>IF(OR(A30="",B30="",C30=""),"",IF(B30&gt;$B$2,IF(C30&gt;=$D$2,"1. Alta importancia / Alto monto","2. Alta importancia / Bajo monto"),IF(C30&gt;=$D$2,"3. Baja importancia / Alto monto","4. Baja importancia / Bajo monto")))</f>
        <v/>
      </c>
      <c r="E30" t="n">
        <v>27</v>
      </c>
      <c r="F30" s="6" t="inlineStr">
        <is>
          <t>Ambos</t>
        </is>
      </c>
      <c r="G30" s="7" t="n">
        <v>220000</v>
      </c>
    </row>
    <row r="31">
      <c r="A31" t="inlineStr">
        <is>
          <t>CONSORCIO DE CONGESTION VENEQUIP</t>
        </is>
      </c>
      <c r="B31" t="n">
        <v>5</v>
      </c>
      <c r="C31" s="7" t="n">
        <v>39000</v>
      </c>
      <c r="D31">
        <f>IF(OR(A31="",B31="",C31=""),"",IF(B31&gt;$B$2,IF(C31&gt;=$D$2,"1. Alta importancia / Alto monto","2. Alta importancia / Bajo monto"),IF(C31&gt;=$D$2,"3. Baja importancia / Alto monto","4. Baja importancia / Bajo monto")))</f>
        <v/>
      </c>
      <c r="E31" t="n">
        <v>28</v>
      </c>
      <c r="F31" s="6" t="inlineStr">
        <is>
          <t>Prestador de servicios</t>
        </is>
      </c>
      <c r="G31" s="7" t="n">
        <v>146000</v>
      </c>
    </row>
    <row r="32">
      <c r="A32" t="inlineStr">
        <is>
          <t>INGONCA</t>
        </is>
      </c>
      <c r="B32" t="n">
        <v>5</v>
      </c>
      <c r="C32" s="7" t="n">
        <v>41000</v>
      </c>
      <c r="D32">
        <f>IF(OR(A32="",B32="",C32=""),"",IF(B32&gt;$B$2,IF(C32&gt;=$D$2,"1. Alta importancia / Alto monto","2. Alta importancia / Bajo monto"),IF(C32&gt;=$D$2,"3. Baja importancia / Alto monto","4. Baja importancia / Bajo monto")))</f>
        <v/>
      </c>
      <c r="E32" t="n">
        <v>29</v>
      </c>
      <c r="F32" s="6" t="inlineStr">
        <is>
          <t>Prestador de servicios</t>
        </is>
      </c>
      <c r="G32" s="7" t="n">
        <v>415000</v>
      </c>
    </row>
    <row r="33">
      <c r="A33" t="inlineStr">
        <is>
          <t>PETRORAMO9,C.A.</t>
        </is>
      </c>
      <c r="B33" t="n">
        <v>4</v>
      </c>
      <c r="C33" s="7" t="n">
        <v>90000</v>
      </c>
      <c r="D33">
        <f>IF(OR(A33="",B33="",C33=""),"",IF(B33&gt;$B$2,IF(C33&gt;=$D$2,"1. Alta importancia / Alto monto","2. Alta importancia / Bajo monto"),IF(C33&gt;=$D$2,"3. Baja importancia / Alto monto","4. Baja importancia / Bajo monto")))</f>
        <v/>
      </c>
      <c r="E33" t="n">
        <v>30</v>
      </c>
      <c r="F33" s="6" t="inlineStr">
        <is>
          <t>Prestador de servicios</t>
        </is>
      </c>
      <c r="G33" s="7" t="n">
        <v>526000</v>
      </c>
    </row>
    <row r="34">
      <c r="A34" t="inlineStr">
        <is>
          <t>HIPER VALLE, C.A.</t>
        </is>
      </c>
      <c r="B34" t="n">
        <v>6</v>
      </c>
      <c r="C34" s="7" t="n">
        <v>46000</v>
      </c>
      <c r="D34">
        <f>IF(OR(A34="",B34="",C34=""),"",IF(B34&gt;$B$2,IF(C34&gt;=$D$2,"1. Alta importancia / Alto monto","2. Alta importancia / Bajo monto"),IF(C34&gt;=$D$2,"3. Baja importancia / Alto monto","4. Baja importancia / Bajo monto")))</f>
        <v/>
      </c>
      <c r="E34" t="n">
        <v>31</v>
      </c>
      <c r="F34" s="6" t="inlineStr">
        <is>
          <t>Proveedor</t>
        </is>
      </c>
      <c r="G34" s="7" t="n">
        <v>108000</v>
      </c>
    </row>
    <row r="35">
      <c r="A35" t="inlineStr">
        <is>
          <t>SIMSA DE VENEZUELA</t>
        </is>
      </c>
      <c r="B35" t="n">
        <v>7</v>
      </c>
      <c r="C35" s="7" t="n">
        <v>34000</v>
      </c>
      <c r="D35">
        <f>IF(OR(A35="",B35="",C35=""),"",IF(B35&gt;$B$2,IF(C35&gt;=$D$2,"1. Alta importancia / Alto monto","2. Alta importancia / Bajo monto"),IF(C35&gt;=$D$2,"3. Baja importancia / Alto monto","4. Baja importancia / Bajo monto")))</f>
        <v/>
      </c>
      <c r="E35" t="n">
        <v>32</v>
      </c>
      <c r="F35" s="6" t="inlineStr">
        <is>
          <t>Proveedor</t>
        </is>
      </c>
      <c r="G35" s="7" t="n">
        <v>224000</v>
      </c>
    </row>
    <row r="36">
      <c r="A36" t="inlineStr">
        <is>
          <t>ENERGIA Y CONSTRUCCIONES DE VENEZUELA, C.A</t>
        </is>
      </c>
      <c r="B36" t="n">
        <v>4</v>
      </c>
      <c r="C36" s="7" t="n">
        <v>26000</v>
      </c>
      <c r="D36">
        <f>IF(OR(A36="",B36="",C36=""),"",IF(B36&gt;$B$2,IF(C36&gt;=$D$2,"1. Alta importancia / Alto monto","2. Alta importancia / Bajo monto"),IF(C36&gt;=$D$2,"3. Baja importancia / Alto monto","4. Baja importancia / Bajo monto")))</f>
        <v/>
      </c>
      <c r="E36" t="n">
        <v>33</v>
      </c>
      <c r="F36" s="6" t="inlineStr">
        <is>
          <t>Prestador de servicios</t>
        </is>
      </c>
      <c r="G36" s="7" t="n">
        <v>125000</v>
      </c>
    </row>
    <row r="37">
      <c r="A37" t="inlineStr">
        <is>
          <t>INVERSION RIO NEGRO C.A.</t>
        </is>
      </c>
      <c r="B37" t="n">
        <v>6</v>
      </c>
      <c r="C37" s="7" t="n">
        <v>75000</v>
      </c>
      <c r="D37">
        <f>IF(OR(A37="",B37="",C37=""),"",IF(B37&gt;$B$2,IF(C37&gt;=$D$2,"1. Alta importancia / Alto monto","2. Alta importancia / Bajo monto"),IF(C37&gt;=$D$2,"3. Baja importancia / Alto monto","4. Baja importancia / Bajo monto")))</f>
        <v/>
      </c>
      <c r="E37" t="n">
        <v>34</v>
      </c>
      <c r="F37" s="6" t="inlineStr">
        <is>
          <t>Ambos</t>
        </is>
      </c>
      <c r="G37" s="7" t="n">
        <v>297000</v>
      </c>
    </row>
    <row r="38">
      <c r="A38" t="inlineStr">
        <is>
          <t>INDUSTRIAS METALURGICAS EXCEL, C.A.</t>
        </is>
      </c>
      <c r="B38" t="n">
        <v>8</v>
      </c>
      <c r="C38" s="7" t="n">
        <v>44000</v>
      </c>
      <c r="D38">
        <f>IF(OR(A38="",B38="",C38=""),"",IF(B38&gt;$B$2,IF(C38&gt;=$D$2,"1. Alta importancia / Alto monto","2. Alta importancia / Bajo monto"),IF(C38&gt;=$D$2,"3. Baja importancia / Alto monto","4. Baja importancia / Bajo monto")))</f>
        <v/>
      </c>
      <c r="E38" t="n">
        <v>35</v>
      </c>
      <c r="F38" s="6" t="inlineStr">
        <is>
          <t>Proveedor</t>
        </is>
      </c>
      <c r="G38" s="7" t="n">
        <v>365000</v>
      </c>
    </row>
    <row r="39">
      <c r="A39" t="inlineStr">
        <is>
          <t>BUS OCCIDENTE NEW, C.A.</t>
        </is>
      </c>
      <c r="B39" t="n">
        <v>1</v>
      </c>
      <c r="C39" s="7" t="n">
        <v>23000</v>
      </c>
      <c r="D39">
        <f>IF(OR(A39="",B39="",C39=""),"",IF(B39&gt;$B$2,IF(C39&gt;=$D$2,"1. Alta importancia / Alto monto","2. Alta importancia / Bajo monto"),IF(C39&gt;=$D$2,"3. Baja importancia / Alto monto","4. Baja importancia / Bajo monto")))</f>
        <v/>
      </c>
      <c r="E39" t="n">
        <v>36</v>
      </c>
      <c r="F39" s="6" t="inlineStr">
        <is>
          <t>Proveedor</t>
        </is>
      </c>
      <c r="G39" s="7" t="n">
        <v>180000</v>
      </c>
    </row>
    <row r="40">
      <c r="A40" t="inlineStr">
        <is>
          <t>AMPLEX DE COLOMBIA COMPAÑIA</t>
        </is>
      </c>
      <c r="B40" t="n">
        <v>4</v>
      </c>
      <c r="C40" s="7" t="n">
        <v>56000</v>
      </c>
      <c r="D40">
        <f>IF(OR(A40="",B40="",C40=""),"",IF(B40&gt;$B$2,IF(C40&gt;=$D$2,"1. Alta importancia / Alto monto","2. Alta importancia / Bajo monto"),IF(C40&gt;=$D$2,"3. Baja importancia / Alto monto","4. Baja importancia / Bajo monto")))</f>
        <v/>
      </c>
      <c r="E40" t="n">
        <v>37</v>
      </c>
      <c r="F40" s="6" t="inlineStr">
        <is>
          <t>Proveedor</t>
        </is>
      </c>
      <c r="G40" s="7" t="n">
        <v>392000</v>
      </c>
    </row>
    <row r="41">
      <c r="A41" t="inlineStr">
        <is>
          <t>MAMUSA INDUSTRIAL, C.A.</t>
        </is>
      </c>
      <c r="B41" t="n">
        <v>6</v>
      </c>
      <c r="C41" s="7" t="n">
        <v>9000</v>
      </c>
      <c r="D41">
        <f>IF(OR(A41="",B41="",C41=""),"",IF(B41&gt;$B$2,IF(C41&gt;=$D$2,"1. Alta importancia / Alto monto","2. Alta importancia / Bajo monto"),IF(C41&gt;=$D$2,"3. Baja importancia / Alto monto","4. Baja importancia / Bajo monto")))</f>
        <v/>
      </c>
      <c r="E41" t="n">
        <v>38</v>
      </c>
      <c r="F41" s="6" t="inlineStr">
        <is>
          <t>Proveedor</t>
        </is>
      </c>
      <c r="G41" s="7" t="n">
        <v>96000</v>
      </c>
    </row>
    <row r="42">
      <c r="A42" t="inlineStr">
        <is>
          <t>CLOMAT, C.A.</t>
        </is>
      </c>
      <c r="B42" t="n">
        <v>7</v>
      </c>
      <c r="C42" s="7" t="n">
        <v>58000</v>
      </c>
      <c r="D42">
        <f>IF(OR(A42="",B42="",C42=""),"",IF(B42&gt;$B$2,IF(C42&gt;=$D$2,"1. Alta importancia / Alto monto","2. Alta importancia / Bajo monto"),IF(C42&gt;=$D$2,"3. Baja importancia / Alto monto","4. Baja importancia / Bajo monto")))</f>
        <v/>
      </c>
      <c r="E42" t="n">
        <v>39</v>
      </c>
      <c r="F42" s="6" t="inlineStr">
        <is>
          <t>Proveedor</t>
        </is>
      </c>
      <c r="G42" s="7" t="n">
        <v>461000</v>
      </c>
    </row>
    <row r="43">
      <c r="A43" t="inlineStr">
        <is>
          <t>INVERSIONES SANTA CRUZ,C.A.</t>
        </is>
      </c>
      <c r="B43" t="n">
        <v>5</v>
      </c>
      <c r="C43" s="7" t="n">
        <v>93000</v>
      </c>
      <c r="D43">
        <f>IF(OR(A43="",B43="",C43=""),"",IF(B43&gt;$B$2,IF(C43&gt;=$D$2,"1. Alta importancia / Alto monto","2. Alta importancia / Bajo monto"),IF(C43&gt;=$D$2,"3. Baja importancia / Alto monto","4. Baja importancia / Bajo monto")))</f>
        <v/>
      </c>
      <c r="E43" t="n">
        <v>40</v>
      </c>
      <c r="F43" s="6" t="inlineStr">
        <is>
          <t>Proveedor</t>
        </is>
      </c>
      <c r="G43" s="7" t="n">
        <v>471000</v>
      </c>
    </row>
    <row r="44">
      <c r="A44" t="inlineStr">
        <is>
          <t>DISTRIBUIDORA NACIONAL DE MOTORES, C.A. (DINAMO)</t>
        </is>
      </c>
      <c r="B44" t="n">
        <v>6</v>
      </c>
      <c r="C44" s="7" t="n">
        <v>18000</v>
      </c>
      <c r="D44">
        <f>IF(OR(A44="",B44="",C44=""),"",IF(B44&gt;$B$2,IF(C44&gt;=$D$2,"1. Alta importancia / Alto monto","2. Alta importancia / Bajo monto"),IF(C44&gt;=$D$2,"3. Baja importancia / Alto monto","4. Baja importancia / Bajo monto")))</f>
        <v/>
      </c>
      <c r="E44" t="n">
        <v>41</v>
      </c>
      <c r="F44" s="6" t="inlineStr">
        <is>
          <t>Proveedor</t>
        </is>
      </c>
      <c r="G44" s="7" t="n">
        <v>125000</v>
      </c>
    </row>
    <row r="45">
      <c r="A45" t="inlineStr">
        <is>
          <t>PARSERVICIOS INTEGRALES SA</t>
        </is>
      </c>
      <c r="B45" t="n">
        <v>1</v>
      </c>
      <c r="C45" s="7" t="n">
        <v>27000</v>
      </c>
      <c r="D45">
        <f>IF(OR(A45="",B45="",C45=""),"",IF(B45&gt;$B$2,IF(C45&gt;=$D$2,"1. Alta importancia / Alto monto","2. Alta importancia / Bajo monto"),IF(C45&gt;=$D$2,"3. Baja importancia / Alto monto","4. Baja importancia / Bajo monto")))</f>
        <v/>
      </c>
      <c r="E45" t="n">
        <v>42</v>
      </c>
      <c r="F45" s="6" t="inlineStr">
        <is>
          <t>Prestador de servicios</t>
        </is>
      </c>
      <c r="G45" s="7" t="n">
        <v>208000</v>
      </c>
    </row>
    <row r="46">
      <c r="A46" t="inlineStr">
        <is>
          <t>IC SERVICIOS Y SUMINISTROS, C.A.</t>
        </is>
      </c>
      <c r="B46" t="n">
        <v>3</v>
      </c>
      <c r="C46" s="7" t="n">
        <v>21000</v>
      </c>
      <c r="D46">
        <f>IF(OR(A46="",B46="",C46=""),"",IF(B46&gt;$B$2,IF(C46&gt;=$D$2,"1. Alta importancia / Alto monto","2. Alta importancia / Bajo monto"),IF(C46&gt;=$D$2,"3. Baja importancia / Alto monto","4. Baja importancia / Bajo monto")))</f>
        <v/>
      </c>
      <c r="E46" t="n">
        <v>43</v>
      </c>
      <c r="F46" s="6" t="inlineStr">
        <is>
          <t>Ambos</t>
        </is>
      </c>
      <c r="G46" s="7" t="n">
        <v>210000</v>
      </c>
    </row>
    <row r="47">
      <c r="A47" t="inlineStr">
        <is>
          <t>VALTRA, C.A.</t>
        </is>
      </c>
      <c r="B47" t="n">
        <v>6</v>
      </c>
      <c r="C47" s="7" t="n">
        <v>85000</v>
      </c>
      <c r="D47">
        <f>IF(OR(A47="",B47="",C47=""),"",IF(B47&gt;$B$2,IF(C47&gt;=$D$2,"1. Alta importancia / Alto monto","2. Alta importancia / Bajo monto"),IF(C47&gt;=$D$2,"3. Baja importancia / Alto monto","4. Baja importancia / Bajo monto")))</f>
        <v/>
      </c>
      <c r="E47" t="n">
        <v>44</v>
      </c>
      <c r="F47" s="6" t="inlineStr">
        <is>
          <t>Proveedor</t>
        </is>
      </c>
      <c r="G47" s="7" t="n">
        <v>791000</v>
      </c>
    </row>
    <row r="48">
      <c r="A48" t="inlineStr">
        <is>
          <t>SERVICIOS Y CONSTRUCCIONES ARPA,C.A.</t>
        </is>
      </c>
      <c r="B48" t="n">
        <v>5</v>
      </c>
      <c r="C48" s="7" t="n">
        <v>58000</v>
      </c>
      <c r="D48">
        <f>IF(OR(A48="",B48="",C48=""),"",IF(B48&gt;$B$2,IF(C48&gt;=$D$2,"1. Alta importancia / Alto monto","2. Alta importancia / Bajo monto"),IF(C48&gt;=$D$2,"3. Baja importancia / Alto monto","4. Baja importancia / Bajo monto")))</f>
        <v/>
      </c>
      <c r="E48" t="n">
        <v>45</v>
      </c>
      <c r="F48" s="6" t="inlineStr">
        <is>
          <t>Prestador de servicios</t>
        </is>
      </c>
      <c r="G48" s="7" t="n">
        <v>532000</v>
      </c>
    </row>
    <row r="49">
      <c r="A49" t="inlineStr">
        <is>
          <t>PETROBES, C.A.</t>
        </is>
      </c>
      <c r="B49" t="n">
        <v>7</v>
      </c>
      <c r="C49" s="7" t="n">
        <v>134000</v>
      </c>
      <c r="D49">
        <f>IF(OR(A49="",B49="",C49=""),"",IF(B49&gt;$B$2,IF(C49&gt;=$D$2,"1. Alta importancia / Alto monto","2. Alta importancia / Bajo monto"),IF(C49&gt;=$D$2,"3. Baja importancia / Alto monto","4. Baja importancia / Bajo monto")))</f>
        <v/>
      </c>
      <c r="E49" t="n">
        <v>46</v>
      </c>
      <c r="F49" s="6" t="inlineStr">
        <is>
          <t>Prestador de servicios</t>
        </is>
      </c>
      <c r="G49" s="7" t="n">
        <v>455000</v>
      </c>
    </row>
    <row r="50">
      <c r="A50" t="inlineStr">
        <is>
          <t>CENTRO CLINICO DIVINO NIÑO, C.A.</t>
        </is>
      </c>
      <c r="B50" t="n">
        <v>2</v>
      </c>
      <c r="C50" s="7" t="n">
        <v>39000</v>
      </c>
      <c r="D50">
        <f>IF(OR(A50="",B50="",C50=""),"",IF(B50&gt;$B$2,IF(C50&gt;=$D$2,"1. Alta importancia / Alto monto","2. Alta importancia / Bajo monto"),IF(C50&gt;=$D$2,"3. Baja importancia / Alto monto","4. Baja importancia / Bajo monto")))</f>
        <v/>
      </c>
      <c r="E50" t="n">
        <v>47</v>
      </c>
      <c r="F50" s="6" t="inlineStr">
        <is>
          <t>Prestador de servicios</t>
        </is>
      </c>
      <c r="G50" s="7" t="n">
        <v>234000</v>
      </c>
    </row>
    <row r="51">
      <c r="A51" t="inlineStr">
        <is>
          <t>OMICT SERVICES, C.A.</t>
        </is>
      </c>
      <c r="B51" t="n">
        <v>4</v>
      </c>
      <c r="C51" s="7" t="n">
        <v>45000</v>
      </c>
      <c r="D51">
        <f>IF(OR(A51="",B51="",C51=""),"",IF(B51&gt;$B$2,IF(C51&gt;=$D$2,"1. Alta importancia / Alto monto","2. Alta importancia / Bajo monto"),IF(C51&gt;=$D$2,"3. Baja importancia / Alto monto","4. Baja importancia / Bajo monto")))</f>
        <v/>
      </c>
      <c r="E51" t="n">
        <v>48</v>
      </c>
      <c r="F51" s="6" t="inlineStr">
        <is>
          <t>Prestador de servicios</t>
        </is>
      </c>
      <c r="G51" s="7" t="n">
        <v>195000</v>
      </c>
    </row>
    <row r="52">
      <c r="A52" t="inlineStr">
        <is>
          <t>INVERSIONES RESANSIL,C.A.</t>
        </is>
      </c>
      <c r="B52" t="n">
        <v>5</v>
      </c>
      <c r="C52" s="7" t="n">
        <v>45000</v>
      </c>
      <c r="D52">
        <f>IF(OR(A52="",B52="",C52=""),"",IF(B52&gt;$B$2,IF(C52&gt;=$D$2,"1. Alta importancia / Alto monto","2. Alta importancia / Bajo monto"),IF(C52&gt;=$D$2,"3. Baja importancia / Alto monto","4. Baja importancia / Bajo monto")))</f>
        <v/>
      </c>
      <c r="E52" t="n">
        <v>49</v>
      </c>
      <c r="F52" s="6" t="inlineStr">
        <is>
          <t>Proveedor</t>
        </is>
      </c>
      <c r="G52" s="7" t="n">
        <v>333000</v>
      </c>
    </row>
    <row r="53">
      <c r="A53" t="inlineStr">
        <is>
          <t>DISTRIBUIDORA FLOR DE APURE, C.A.</t>
        </is>
      </c>
      <c r="B53" t="n">
        <v>9</v>
      </c>
      <c r="C53" s="7" t="n">
        <v>12000</v>
      </c>
      <c r="D53">
        <f>IF(OR(A53="",B53="",C53=""),"",IF(B53&gt;$B$2,IF(C53&gt;=$D$2,"1. Alta importancia / Alto monto","2. Alta importancia / Bajo monto"),IF(C53&gt;=$D$2,"3. Baja importancia / Alto monto","4. Baja importancia / Bajo monto")))</f>
        <v/>
      </c>
      <c r="E53" t="n">
        <v>50</v>
      </c>
      <c r="F53" s="6" t="inlineStr">
        <is>
          <t>Proveedor</t>
        </is>
      </c>
      <c r="G53" s="7" t="n">
        <v>220000</v>
      </c>
    </row>
    <row r="54">
      <c r="A54" t="inlineStr">
        <is>
          <t>LUSORCA SUPPLY, S.A.</t>
        </is>
      </c>
      <c r="B54" t="n">
        <v>8</v>
      </c>
      <c r="C54" s="7" t="n">
        <v>15000</v>
      </c>
      <c r="D54">
        <f>IF(OR(A54="",B54="",C54=""),"",IF(B54&gt;$B$2,IF(C54&gt;=$D$2,"1. Alta importancia / Alto monto","2. Alta importancia / Bajo monto"),IF(C54&gt;=$D$2,"3. Baja importancia / Alto monto","4. Baja importancia / Bajo monto")))</f>
        <v/>
      </c>
      <c r="E54" t="n">
        <v>51</v>
      </c>
      <c r="F54" s="6" t="inlineStr">
        <is>
          <t>Proveedor</t>
        </is>
      </c>
      <c r="G54" s="7" t="n">
        <v>131000</v>
      </c>
    </row>
    <row r="55">
      <c r="A55" t="inlineStr">
        <is>
          <t>ESPECIALISTAS EN BOMBEO ELECTROSUMERGIBLES, C.A.</t>
        </is>
      </c>
      <c r="B55" t="n">
        <v>8</v>
      </c>
      <c r="C55" s="7" t="n">
        <v>33000</v>
      </c>
      <c r="D55">
        <f>IF(OR(A55="",B55="",C55=""),"",IF(B55&gt;$B$2,IF(C55&gt;=$D$2,"1. Alta importancia / Alto monto","2. Alta importancia / Bajo monto"),IF(C55&gt;=$D$2,"3. Baja importancia / Alto monto","4. Baja importancia / Bajo monto")))</f>
        <v/>
      </c>
      <c r="E55" t="n">
        <v>52</v>
      </c>
      <c r="F55" s="6" t="inlineStr">
        <is>
          <t>Ambos</t>
        </is>
      </c>
      <c r="G55" s="7" t="n">
        <v>126000</v>
      </c>
    </row>
    <row r="56">
      <c r="A56" t="inlineStr">
        <is>
          <t>GRUPO TECNOLOGICO C,A,</t>
        </is>
      </c>
      <c r="B56" t="n">
        <v>6</v>
      </c>
      <c r="C56" s="7" t="n">
        <v>12000</v>
      </c>
      <c r="D56">
        <f>IF(OR(A56="",B56="",C56=""),"",IF(B56&gt;$B$2,IF(C56&gt;=$D$2,"1. Alta importancia / Alto monto","2. Alta importancia / Bajo monto"),IF(C56&gt;=$D$2,"3. Baja importancia / Alto monto","4. Baja importancia / Bajo monto")))</f>
        <v/>
      </c>
      <c r="E56" t="n">
        <v>53</v>
      </c>
      <c r="F56" s="6" t="inlineStr">
        <is>
          <t>Proveedor</t>
        </is>
      </c>
      <c r="G56" s="7" t="n">
        <v>163000</v>
      </c>
    </row>
    <row r="57">
      <c r="A57" t="inlineStr">
        <is>
          <t>SOSHICA</t>
        </is>
      </c>
      <c r="B57" t="n">
        <v>3</v>
      </c>
      <c r="C57" s="7" t="n">
        <v>6000</v>
      </c>
      <c r="D57">
        <f>IF(OR(A57="",B57="",C57=""),"",IF(B57&gt;$B$2,IF(C57&gt;=$D$2,"1. Alta importancia / Alto monto","2. Alta importancia / Bajo monto"),IF(C57&gt;=$D$2,"3. Baja importancia / Alto monto","4. Baja importancia / Bajo monto")))</f>
        <v/>
      </c>
      <c r="E57" t="n">
        <v>54</v>
      </c>
      <c r="F57" s="6" t="inlineStr">
        <is>
          <t>Proveedor</t>
        </is>
      </c>
      <c r="G57" s="7" t="n">
        <v>218000</v>
      </c>
    </row>
    <row r="58">
      <c r="A58" t="inlineStr">
        <is>
          <t>SUBLIBUSTOS</t>
        </is>
      </c>
      <c r="B58" t="n">
        <v>5</v>
      </c>
      <c r="C58" s="7" t="n">
        <v>15000</v>
      </c>
      <c r="D58">
        <f>IF(OR(A58="",B58="",C58=""),"",IF(B58&gt;$B$2,IF(C58&gt;=$D$2,"1. Alta importancia / Alto monto","2. Alta importancia / Bajo monto"),IF(C58&gt;=$D$2,"3. Baja importancia / Alto monto","4. Baja importancia / Bajo monto")))</f>
        <v/>
      </c>
      <c r="E58" t="n">
        <v>55</v>
      </c>
      <c r="F58" s="6" t="inlineStr">
        <is>
          <t>Proveedor</t>
        </is>
      </c>
      <c r="G58" s="7" t="n">
        <v>212000</v>
      </c>
    </row>
    <row r="59">
      <c r="A59" t="inlineStr">
        <is>
          <t>DLD PUBLICIDAD</t>
        </is>
      </c>
      <c r="B59" t="n">
        <v>1</v>
      </c>
      <c r="C59" s="7" t="n">
        <v>255000</v>
      </c>
      <c r="D59">
        <f>IF(OR(A59="",B59="",C59=""),"",IF(B59&gt;$B$2,IF(C59&gt;=$D$2,"1. Alta importancia / Alto monto","2. Alta importancia / Bajo monto"),IF(C59&gt;=$D$2,"3. Baja importancia / Alto monto","4. Baja importancia / Bajo monto")))</f>
        <v/>
      </c>
      <c r="E59" t="n">
        <v>56</v>
      </c>
      <c r="F59" s="6" t="inlineStr">
        <is>
          <t>Prestador de servicios</t>
        </is>
      </c>
      <c r="G59" s="7" t="n">
        <v>934000</v>
      </c>
    </row>
    <row r="60">
      <c r="A60" t="inlineStr">
        <is>
          <t>CONSTRUCCIONS, INVERSIONES Y SERVICIOS JS, C.A.</t>
        </is>
      </c>
      <c r="B60" t="n">
        <v>3</v>
      </c>
      <c r="C60" s="7" t="n">
        <v>4000</v>
      </c>
      <c r="D60">
        <f>IF(OR(A60="",B60="",C60=""),"",IF(B60&gt;$B$2,IF(C60&gt;=$D$2,"1. Alta importancia / Alto monto","2. Alta importancia / Bajo monto"),IF(C60&gt;=$D$2,"3. Baja importancia / Alto monto","4. Baja importancia / Bajo monto")))</f>
        <v/>
      </c>
      <c r="E60" t="n">
        <v>57</v>
      </c>
      <c r="F60" s="6" t="inlineStr">
        <is>
          <t>Prestador de servicios</t>
        </is>
      </c>
      <c r="G60" s="7" t="n">
        <v>168000</v>
      </c>
    </row>
    <row r="61">
      <c r="A61" t="inlineStr">
        <is>
          <t>INVERSIONES Y CONSTRUCCIONES SAN FRANCISCO SP</t>
        </is>
      </c>
      <c r="B61" t="n">
        <v>4</v>
      </c>
      <c r="C61" s="7" t="n">
        <v>17000</v>
      </c>
      <c r="D61">
        <f>IF(OR(A61="",B61="",C61=""),"",IF(B61&gt;$B$2,IF(C61&gt;=$D$2,"1. Alta importancia / Alto monto","2. Alta importancia / Bajo monto"),IF(C61&gt;=$D$2,"3. Baja importancia / Alto monto","4. Baja importancia / Bajo monto")))</f>
        <v/>
      </c>
      <c r="E61" t="n">
        <v>58</v>
      </c>
      <c r="F61" s="6" t="inlineStr">
        <is>
          <t>Ambos</t>
        </is>
      </c>
      <c r="G61" s="7" t="n">
        <v>86000</v>
      </c>
    </row>
    <row r="62">
      <c r="A62" t="inlineStr">
        <is>
          <t>APSU PROCESS MANAGEMENT,C.A.</t>
        </is>
      </c>
      <c r="B62" t="n">
        <v>5</v>
      </c>
      <c r="C62" s="7" t="n">
        <v>61000</v>
      </c>
      <c r="D62">
        <f>IF(OR(A62="",B62="",C62=""),"",IF(B62&gt;$B$2,IF(C62&gt;=$D$2,"1. Alta importancia / Alto monto","2. Alta importancia / Bajo monto"),IF(C62&gt;=$D$2,"3. Baja importancia / Alto monto","4. Baja importancia / Bajo monto")))</f>
        <v/>
      </c>
      <c r="E62" t="n">
        <v>59</v>
      </c>
      <c r="F62" s="6" t="inlineStr">
        <is>
          <t>Prestador de servicios</t>
        </is>
      </c>
      <c r="G62" s="7" t="n">
        <v>604000</v>
      </c>
    </row>
    <row r="63">
      <c r="A63" t="inlineStr">
        <is>
          <t>RODAMIENTOS Y ESTOPERAS DE LOS ANDES</t>
        </is>
      </c>
      <c r="B63" t="n">
        <v>6</v>
      </c>
      <c r="C63" s="7" t="n">
        <v>48000</v>
      </c>
      <c r="D63">
        <f>IF(OR(A63="",B63="",C63=""),"",IF(B63&gt;$B$2,IF(C63&gt;=$D$2,"1. Alta importancia / Alto monto","2. Alta importancia / Bajo monto"),IF(C63&gt;=$D$2,"3. Baja importancia / Alto monto","4. Baja importancia / Bajo monto")))</f>
        <v/>
      </c>
      <c r="E63" t="n">
        <v>60</v>
      </c>
      <c r="F63" s="6" t="inlineStr">
        <is>
          <t>Proveedor</t>
        </is>
      </c>
      <c r="G63" s="7" t="n">
        <v>383000</v>
      </c>
    </row>
    <row r="64">
      <c r="A64" t="inlineStr">
        <is>
          <t>LIMPIADORES INDUSTRIALES LIPESA,S.A.</t>
        </is>
      </c>
      <c r="B64" t="n">
        <v>8</v>
      </c>
      <c r="C64" s="7" t="n">
        <v>12000</v>
      </c>
      <c r="D64">
        <f>IF(OR(A64="",B64="",C64=""),"",IF(B64&gt;$B$2,IF(C64&gt;=$D$2,"1. Alta importancia / Alto monto","2. Alta importancia / Bajo monto"),IF(C64&gt;=$D$2,"3. Baja importancia / Alto monto","4. Baja importancia / Bajo monto")))</f>
        <v/>
      </c>
      <c r="E64" t="n">
        <v>61</v>
      </c>
      <c r="F64" s="6" t="inlineStr">
        <is>
          <t>Proveedor</t>
        </is>
      </c>
      <c r="G64" s="7" t="n">
        <v>61000</v>
      </c>
    </row>
    <row r="65">
      <c r="A65" t="inlineStr">
        <is>
          <t>RODEANDES</t>
        </is>
      </c>
      <c r="B65" t="n">
        <v>6</v>
      </c>
      <c r="C65" s="7" t="n">
        <v>24000</v>
      </c>
      <c r="D65">
        <f>IF(OR(A65="",B65="",C65=""),"",IF(B65&gt;$B$2,IF(C65&gt;=$D$2,"1. Alta importancia / Alto monto","2. Alta importancia / Bajo monto"),IF(C65&gt;=$D$2,"3. Baja importancia / Alto monto","4. Baja importancia / Bajo monto")))</f>
        <v/>
      </c>
      <c r="E65" t="n">
        <v>62</v>
      </c>
      <c r="F65" s="6" t="inlineStr">
        <is>
          <t>Proveedor</t>
        </is>
      </c>
      <c r="G65" s="7" t="n">
        <v>147000</v>
      </c>
    </row>
    <row r="66">
      <c r="A66" t="inlineStr">
        <is>
          <t>ANELECTRA, C.A.</t>
        </is>
      </c>
      <c r="B66" t="n">
        <v>6</v>
      </c>
      <c r="C66" s="7" t="n">
        <v>53000</v>
      </c>
      <c r="D66">
        <f>IF(OR(A66="",B66="",C66=""),"",IF(B66&gt;$B$2,IF(C66&gt;=$D$2,"1. Alta importancia / Alto monto","2. Alta importancia / Bajo monto"),IF(C66&gt;=$D$2,"3. Baja importancia / Alto monto","4. Baja importancia / Bajo monto")))</f>
        <v/>
      </c>
      <c r="E66" t="n">
        <v>63</v>
      </c>
      <c r="F66" s="6" t="inlineStr">
        <is>
          <t>Proveedor</t>
        </is>
      </c>
      <c r="G66" s="7" t="n">
        <v>260000</v>
      </c>
    </row>
    <row r="67">
      <c r="A67" t="inlineStr">
        <is>
          <t>SERV.DE TRASLADOS 7 VENCEDORES</t>
        </is>
      </c>
      <c r="B67" t="n">
        <v>6</v>
      </c>
      <c r="C67" s="7" t="n">
        <v>38000</v>
      </c>
      <c r="D67">
        <f>IF(OR(A67="",B67="",C67=""),"",IF(B67&gt;$B$2,IF(C67&gt;=$D$2,"1. Alta importancia / Alto monto","2. Alta importancia / Bajo monto"),IF(C67&gt;=$D$2,"3. Baja importancia / Alto monto","4. Baja importancia / Bajo monto")))</f>
        <v/>
      </c>
      <c r="E67" t="n">
        <v>64</v>
      </c>
      <c r="F67" s="6" t="inlineStr">
        <is>
          <t>Prestador de servicios</t>
        </is>
      </c>
      <c r="G67" s="7" t="n">
        <v>202000</v>
      </c>
    </row>
    <row r="68">
      <c r="A68" t="inlineStr">
        <is>
          <t>CONFECCIONES DIVINO NIÑO, C.A.</t>
        </is>
      </c>
      <c r="B68" t="n">
        <v>4</v>
      </c>
      <c r="C68" s="7" t="n">
        <v>58000</v>
      </c>
      <c r="D68">
        <f>IF(OR(A68="",B68="",C68=""),"",IF(B68&gt;$B$2,IF(C68&gt;=$D$2,"1. Alta importancia / Alto monto","2. Alta importancia / Bajo monto"),IF(C68&gt;=$D$2,"3. Baja importancia / Alto monto","4. Baja importancia / Bajo monto")))</f>
        <v/>
      </c>
      <c r="E68" t="n">
        <v>65</v>
      </c>
      <c r="F68" s="6" t="inlineStr">
        <is>
          <t>Proveedor</t>
        </is>
      </c>
      <c r="G68" s="7" t="n">
        <v>218000</v>
      </c>
    </row>
    <row r="69">
      <c r="A69" t="inlineStr">
        <is>
          <t>SERVICIOS GAMONTY, C.A</t>
        </is>
      </c>
      <c r="B69" t="n">
        <v>9</v>
      </c>
      <c r="C69" s="7" t="n">
        <v>21000</v>
      </c>
      <c r="D69">
        <f>IF(OR(A69="",B69="",C69=""),"",IF(B69&gt;$B$2,IF(C69&gt;=$D$2,"1. Alta importancia / Alto monto","2. Alta importancia / Bajo monto"),IF(C69&gt;=$D$2,"3. Baja importancia / Alto monto","4. Baja importancia / Bajo monto")))</f>
        <v/>
      </c>
      <c r="E69" t="n">
        <v>66</v>
      </c>
      <c r="F69" s="6" t="inlineStr">
        <is>
          <t>Prestador de servicios</t>
        </is>
      </c>
      <c r="G69" s="7" t="n">
        <v>153000</v>
      </c>
    </row>
    <row r="70">
      <c r="A70" t="inlineStr">
        <is>
          <t>CABILLAS DEL CENTRO, C.A</t>
        </is>
      </c>
      <c r="B70" t="n">
        <v>9</v>
      </c>
      <c r="C70" s="7" t="n">
        <v>127000</v>
      </c>
      <c r="D70">
        <f>IF(OR(A70="",B70="",C70=""),"",IF(B70&gt;$B$2,IF(C70&gt;=$D$2,"1. Alta importancia / Alto monto","2. Alta importancia / Bajo monto"),IF(C70&gt;=$D$2,"3. Baja importancia / Alto monto","4. Baja importancia / Bajo monto")))</f>
        <v/>
      </c>
      <c r="E70" t="n">
        <v>67</v>
      </c>
      <c r="F70" s="6" t="inlineStr">
        <is>
          <t>Proveedor</t>
        </is>
      </c>
      <c r="G70" s="7" t="n">
        <v>751000</v>
      </c>
    </row>
    <row r="71">
      <c r="A71" t="inlineStr">
        <is>
          <t>CONCRETERA INDUSTRIAL BARINAS, C.A.</t>
        </is>
      </c>
      <c r="B71" t="n">
        <v>2</v>
      </c>
      <c r="C71" s="7" t="n">
        <v>123000</v>
      </c>
      <c r="D71">
        <f>IF(OR(A71="",B71="",C71=""),"",IF(B71&gt;$B$2,IF(C71&gt;=$D$2,"1. Alta importancia / Alto monto","2. Alta importancia / Bajo monto"),IF(C71&gt;=$D$2,"3. Baja importancia / Alto monto","4. Baja importancia / Bajo monto")))</f>
        <v/>
      </c>
      <c r="E71" t="n">
        <v>68</v>
      </c>
      <c r="F71" s="6" t="inlineStr">
        <is>
          <t>Proveedor</t>
        </is>
      </c>
      <c r="G71" s="7" t="n">
        <v>520000</v>
      </c>
    </row>
    <row r="72">
      <c r="A72" t="inlineStr">
        <is>
          <t>CM SUMINISTROS ITS TIME C.A.</t>
        </is>
      </c>
      <c r="B72" t="n">
        <v>5</v>
      </c>
      <c r="C72" s="7" t="n">
        <v>70000</v>
      </c>
      <c r="D72">
        <f>IF(OR(A72="",B72="",C72=""),"",IF(B72&gt;$B$2,IF(C72&gt;=$D$2,"1. Alta importancia / Alto monto","2. Alta importancia / Bajo monto"),IF(C72&gt;=$D$2,"3. Baja importancia / Alto monto","4. Baja importancia / Bajo monto")))</f>
        <v/>
      </c>
      <c r="E72" t="n">
        <v>69</v>
      </c>
      <c r="F72" s="6" t="inlineStr">
        <is>
          <t>Proveedor</t>
        </is>
      </c>
      <c r="G72" s="7" t="n">
        <v>396000</v>
      </c>
    </row>
    <row r="73">
      <c r="A73" t="inlineStr">
        <is>
          <t>SERVICIOS Y SOLUCIONES F.J, C.A.</t>
        </is>
      </c>
      <c r="B73" t="n">
        <v>2</v>
      </c>
      <c r="C73" s="7" t="n">
        <v>115000</v>
      </c>
      <c r="D73">
        <f>IF(OR(A73="",B73="",C73=""),"",IF(B73&gt;$B$2,IF(C73&gt;=$D$2,"1. Alta importancia / Alto monto","2. Alta importancia / Bajo monto"),IF(C73&gt;=$D$2,"3. Baja importancia / Alto monto","4. Baja importancia / Bajo monto")))</f>
        <v/>
      </c>
      <c r="E73" t="n">
        <v>70</v>
      </c>
      <c r="F73" s="6" t="inlineStr">
        <is>
          <t>Prestador de servicios</t>
        </is>
      </c>
      <c r="G73" s="7" t="n">
        <v>981000</v>
      </c>
    </row>
    <row r="74">
      <c r="A74" t="inlineStr">
        <is>
          <t>SERVICIOS Y TRANSPORTE LA REPRESA, C.A.</t>
        </is>
      </c>
      <c r="B74" t="n">
        <v>5</v>
      </c>
      <c r="C74" s="7" t="n">
        <v>109000</v>
      </c>
      <c r="D74">
        <f>IF(OR(A74="",B74="",C74=""),"",IF(B74&gt;$B$2,IF(C74&gt;=$D$2,"1. Alta importancia / Alto monto","2. Alta importancia / Bajo monto"),IF(C74&gt;=$D$2,"3. Baja importancia / Alto monto","4. Baja importancia / Bajo monto")))</f>
        <v/>
      </c>
      <c r="E74" t="n">
        <v>71</v>
      </c>
      <c r="F74" s="6" t="inlineStr">
        <is>
          <t>Prestador de servicios</t>
        </is>
      </c>
      <c r="G74" s="7" t="n">
        <v>993000</v>
      </c>
    </row>
    <row r="75">
      <c r="A75" t="inlineStr">
        <is>
          <t>CONF. LORDIZ</t>
        </is>
      </c>
      <c r="B75" t="n">
        <v>5</v>
      </c>
      <c r="C75" s="7" t="n">
        <v>31000</v>
      </c>
      <c r="D75">
        <f>IF(OR(A75="",B75="",C75=""),"",IF(B75&gt;$B$2,IF(C75&gt;=$D$2,"1. Alta importancia / Alto monto","2. Alta importancia / Bajo monto"),IF(C75&gt;=$D$2,"3. Baja importancia / Alto monto","4. Baja importancia / Bajo monto")))</f>
        <v/>
      </c>
      <c r="E75" t="n">
        <v>72</v>
      </c>
      <c r="F75" s="6" t="inlineStr">
        <is>
          <t>Proveedor</t>
        </is>
      </c>
      <c r="G75" s="7" t="n">
        <v>246000</v>
      </c>
    </row>
    <row r="76">
      <c r="A76" t="inlineStr">
        <is>
          <t>INDUSTRIAS OCCIDENTE,S.A.</t>
        </is>
      </c>
      <c r="B76" t="n">
        <v>2</v>
      </c>
      <c r="C76" s="7" t="n">
        <v>35000</v>
      </c>
      <c r="D76">
        <f>IF(OR(A76="",B76="",C76=""),"",IF(B76&gt;$B$2,IF(C76&gt;=$D$2,"1. Alta importancia / Alto monto","2. Alta importancia / Bajo monto"),IF(C76&gt;=$D$2,"3. Baja importancia / Alto monto","4. Baja importancia / Bajo monto")))</f>
        <v/>
      </c>
      <c r="E76" t="n">
        <v>73</v>
      </c>
      <c r="F76" s="6" t="inlineStr">
        <is>
          <t>Proveedor</t>
        </is>
      </c>
      <c r="G76" s="7" t="n">
        <v>339000</v>
      </c>
    </row>
    <row r="77">
      <c r="A77" t="inlineStr">
        <is>
          <t>L&amp;Q CONSULTORES SAFETY, C.A.</t>
        </is>
      </c>
      <c r="B77" t="n">
        <v>2</v>
      </c>
      <c r="C77" s="7" t="n">
        <v>9000</v>
      </c>
      <c r="D77">
        <f>IF(OR(A77="",B77="",C77=""),"",IF(B77&gt;$B$2,IF(C77&gt;=$D$2,"1. Alta importancia / Alto monto","2. Alta importancia / Bajo monto"),IF(C77&gt;=$D$2,"3. Baja importancia / Alto monto","4. Baja importancia / Bajo monto")))</f>
        <v/>
      </c>
      <c r="E77" t="n">
        <v>74</v>
      </c>
      <c r="F77" s="6" t="inlineStr">
        <is>
          <t>Prestador de servicios</t>
        </is>
      </c>
      <c r="G77" s="7" t="n">
        <v>202000</v>
      </c>
    </row>
    <row r="78">
      <c r="A78" t="inlineStr">
        <is>
          <t>INDUSTRIAS QUIMICAS ZOMALCA, C.A</t>
        </is>
      </c>
      <c r="B78" t="n">
        <v>8</v>
      </c>
      <c r="C78" s="7" t="n">
        <v>262000</v>
      </c>
      <c r="D78">
        <f>IF(OR(A78="",B78="",C78=""),"",IF(B78&gt;$B$2,IF(C78&gt;=$D$2,"1. Alta importancia / Alto monto","2. Alta importancia / Bajo monto"),IF(C78&gt;=$D$2,"3. Baja importancia / Alto monto","4. Baja importancia / Bajo monto")))</f>
        <v/>
      </c>
      <c r="E78" t="n">
        <v>75</v>
      </c>
      <c r="F78" s="6" t="inlineStr">
        <is>
          <t>Proveedor</t>
        </is>
      </c>
      <c r="G78" s="7" t="n">
        <v>1780000</v>
      </c>
    </row>
    <row r="79">
      <c r="A79" t="inlineStr">
        <is>
          <t>TORINDUCA, C.A.</t>
        </is>
      </c>
      <c r="B79" t="n">
        <v>7</v>
      </c>
      <c r="C79" s="7" t="n">
        <v>18000</v>
      </c>
      <c r="D79">
        <f>IF(OR(A79="",B79="",C79=""),"",IF(B79&gt;$B$2,IF(C79&gt;=$D$2,"1. Alta importancia / Alto monto","2. Alta importancia / Bajo monto"),IF(C79&gt;=$D$2,"3. Baja importancia / Alto monto","4. Baja importancia / Bajo monto")))</f>
        <v/>
      </c>
      <c r="E79" t="n">
        <v>76</v>
      </c>
      <c r="F79" s="6" t="inlineStr">
        <is>
          <t>Proveedor</t>
        </is>
      </c>
      <c r="G79" s="7" t="n">
        <v>143000</v>
      </c>
    </row>
    <row r="80">
      <c r="A80" t="inlineStr">
        <is>
          <t>CONTRERAS SEGURIDAD INDUSTRIAL, C.A.</t>
        </is>
      </c>
      <c r="B80" t="n">
        <v>2</v>
      </c>
      <c r="C80" s="7" t="n">
        <v>104000</v>
      </c>
      <c r="D80">
        <f>IF(OR(A80="",B80="",C80=""),"",IF(B80&gt;$B$2,IF(C80&gt;=$D$2,"1. Alta importancia / Alto monto","2. Alta importancia / Bajo monto"),IF(C80&gt;=$D$2,"3. Baja importancia / Alto monto","4. Baja importancia / Bajo monto")))</f>
        <v/>
      </c>
      <c r="E80" t="n">
        <v>77</v>
      </c>
      <c r="F80" s="6" t="inlineStr">
        <is>
          <t>Ambos</t>
        </is>
      </c>
      <c r="G80" s="7" t="n">
        <v>709000</v>
      </c>
    </row>
    <row r="81">
      <c r="A81" t="inlineStr">
        <is>
          <t>CONELCA,C.A.</t>
        </is>
      </c>
      <c r="B81" t="n">
        <v>5</v>
      </c>
      <c r="C81" s="7" t="n">
        <v>44000</v>
      </c>
      <c r="D81">
        <f>IF(OR(A81="",B81="",C81=""),"",IF(B81&gt;$B$2,IF(C81&gt;=$D$2,"1. Alta importancia / Alto monto","2. Alta importancia / Bajo monto"),IF(C81&gt;=$D$2,"3. Baja importancia / Alto monto","4. Baja importancia / Bajo monto")))</f>
        <v/>
      </c>
      <c r="E81" t="n">
        <v>78</v>
      </c>
      <c r="F81" s="6" t="inlineStr">
        <is>
          <t>Proveedor</t>
        </is>
      </c>
      <c r="G81" s="7" t="n">
        <v>218000</v>
      </c>
    </row>
    <row r="82">
      <c r="A82" t="inlineStr">
        <is>
          <t>KENBRAN, C.A.</t>
        </is>
      </c>
      <c r="B82" t="n">
        <v>8</v>
      </c>
      <c r="C82" s="7" t="n">
        <v>37000</v>
      </c>
      <c r="D82">
        <f>IF(OR(A82="",B82="",C82=""),"",IF(B82&gt;$B$2,IF(C82&gt;=$D$2,"1. Alta importancia / Alto monto","2. Alta importancia / Bajo monto"),IF(C82&gt;=$D$2,"3. Baja importancia / Alto monto","4. Baja importancia / Bajo monto")))</f>
        <v/>
      </c>
      <c r="E82" t="n">
        <v>79</v>
      </c>
      <c r="F82" s="6" t="inlineStr">
        <is>
          <t>Proveedor</t>
        </is>
      </c>
      <c r="G82" s="7" t="n">
        <v>191000</v>
      </c>
    </row>
    <row r="83">
      <c r="A83" t="inlineStr">
        <is>
          <t>MULTISERVICIOS A37, C.A.</t>
        </is>
      </c>
      <c r="B83" t="n">
        <v>4</v>
      </c>
      <c r="C83" s="7" t="n">
        <v>62000</v>
      </c>
      <c r="D83">
        <f>IF(OR(A83="",B83="",C83=""),"",IF(B83&gt;$B$2,IF(C83&gt;=$D$2,"1. Alta importancia / Alto monto","2. Alta importancia / Bajo monto"),IF(C83&gt;=$D$2,"3. Baja importancia / Alto monto","4. Baja importancia / Bajo monto")))</f>
        <v/>
      </c>
      <c r="E83" t="n">
        <v>80</v>
      </c>
      <c r="F83" s="6" t="inlineStr">
        <is>
          <t>Prestador de servicios</t>
        </is>
      </c>
      <c r="G83" s="7" t="n">
        <v>319000</v>
      </c>
    </row>
    <row r="84">
      <c r="A84" t="inlineStr">
        <is>
          <t>RENSER-ORIENTE, C.A.</t>
        </is>
      </c>
      <c r="B84" t="n">
        <v>2</v>
      </c>
      <c r="C84" s="7" t="n">
        <v>41000</v>
      </c>
      <c r="D84">
        <f>IF(OR(A84="",B84="",C84=""),"",IF(B84&gt;$B$2,IF(C84&gt;=$D$2,"1. Alta importancia / Alto monto","2. Alta importancia / Bajo monto"),IF(C84&gt;=$D$2,"3. Baja importancia / Alto monto","4. Baja importancia / Bajo monto")))</f>
        <v/>
      </c>
      <c r="E84" t="n">
        <v>81</v>
      </c>
      <c r="F84" s="6" t="inlineStr">
        <is>
          <t>Proveedor</t>
        </is>
      </c>
      <c r="G84" s="7" t="n">
        <v>332000</v>
      </c>
    </row>
    <row r="85">
      <c r="A85" t="inlineStr">
        <is>
          <t>NEOCAMIONES, C.A.</t>
        </is>
      </c>
      <c r="B85" t="n">
        <v>2</v>
      </c>
      <c r="C85" s="7" t="n">
        <v>32000</v>
      </c>
      <c r="D85">
        <f>IF(OR(A85="",B85="",C85=""),"",IF(B85&gt;$B$2,IF(C85&gt;=$D$2,"1. Alta importancia / Alto monto","2. Alta importancia / Bajo monto"),IF(C85&gt;=$D$2,"3. Baja importancia / Alto monto","4. Baja importancia / Bajo monto")))</f>
        <v/>
      </c>
      <c r="E85" t="n">
        <v>82</v>
      </c>
      <c r="F85" s="6" t="inlineStr">
        <is>
          <t>Proveedor</t>
        </is>
      </c>
      <c r="G85" s="7" t="n">
        <v>194000</v>
      </c>
    </row>
    <row r="86">
      <c r="A86" t="inlineStr">
        <is>
          <t>COLFISHING SERVICES SAS</t>
        </is>
      </c>
      <c r="B86" t="n">
        <v>9</v>
      </c>
      <c r="C86" s="7" t="n">
        <v>174000</v>
      </c>
      <c r="D86">
        <f>IF(OR(A86="",B86="",C86=""),"",IF(B86&gt;$B$2,IF(C86&gt;=$D$2,"1. Alta importancia / Alto monto","2. Alta importancia / Bajo monto"),IF(C86&gt;=$D$2,"3. Baja importancia / Alto monto","4. Baja importancia / Bajo monto")))</f>
        <v/>
      </c>
      <c r="E86" t="n">
        <v>83</v>
      </c>
      <c r="F86" s="6" t="inlineStr">
        <is>
          <t>Prestador de servicios</t>
        </is>
      </c>
      <c r="G86" s="7" t="n">
        <v>1316000</v>
      </c>
    </row>
    <row r="87">
      <c r="A87" t="inlineStr">
        <is>
          <t>ASESORES EMPRESARIALES (CAEMCA), C.A.</t>
        </is>
      </c>
      <c r="B87" t="n">
        <v>4</v>
      </c>
      <c r="C87" s="7" t="n">
        <v>12000</v>
      </c>
      <c r="D87">
        <f>IF(OR(A87="",B87="",C87=""),"",IF(B87&gt;$B$2,IF(C87&gt;=$D$2,"1. Alta importancia / Alto monto","2. Alta importancia / Bajo monto"),IF(C87&gt;=$D$2,"3. Baja importancia / Alto monto","4. Baja importancia / Bajo monto")))</f>
        <v/>
      </c>
      <c r="E87" t="n">
        <v>84</v>
      </c>
      <c r="F87" s="6" t="inlineStr">
        <is>
          <t>Prestador de servicios</t>
        </is>
      </c>
      <c r="G87" s="7" t="n">
        <v>96000</v>
      </c>
    </row>
    <row r="88">
      <c r="A88" t="inlineStr">
        <is>
          <t>VENEZOLANA DE MECANICANIZADO C.A.</t>
        </is>
      </c>
      <c r="B88" t="n">
        <v>5</v>
      </c>
      <c r="C88" s="7" t="n">
        <v>11000</v>
      </c>
      <c r="D88">
        <f>IF(OR(A88="",B88="",C88=""),"",IF(B88&gt;$B$2,IF(C88&gt;=$D$2,"1. Alta importancia / Alto monto","2. Alta importancia / Bajo monto"),IF(C88&gt;=$D$2,"3. Baja importancia / Alto monto","4. Baja importancia / Bajo monto")))</f>
        <v/>
      </c>
      <c r="E88" t="n">
        <v>85</v>
      </c>
      <c r="F88" s="6" t="inlineStr">
        <is>
          <t>Proveedor</t>
        </is>
      </c>
      <c r="G88" s="7" t="n">
        <v>223000</v>
      </c>
    </row>
    <row r="89">
      <c r="A89" t="inlineStr">
        <is>
          <t>INTEVEP</t>
        </is>
      </c>
      <c r="B89" t="n">
        <v>8</v>
      </c>
      <c r="C89" s="7" t="n">
        <v>32000</v>
      </c>
      <c r="D89">
        <f>IF(OR(A89="",B89="",C89=""),"",IF(B89&gt;$B$2,IF(C89&gt;=$D$2,"1. Alta importancia / Alto monto","2. Alta importancia / Bajo monto"),IF(C89&gt;=$D$2,"3. Baja importancia / Alto monto","4. Baja importancia / Bajo monto")))</f>
        <v/>
      </c>
      <c r="E89" t="n">
        <v>86</v>
      </c>
      <c r="F89" s="6" t="inlineStr">
        <is>
          <t>Prestador de servicios</t>
        </is>
      </c>
      <c r="G89" s="7" t="n">
        <v>250000</v>
      </c>
    </row>
    <row r="90">
      <c r="A90" t="inlineStr">
        <is>
          <t>EDELCA</t>
        </is>
      </c>
      <c r="B90" t="n">
        <v>8</v>
      </c>
      <c r="C90" s="7" t="n">
        <v>16000</v>
      </c>
      <c r="D90">
        <f>IF(OR(A90="",B90="",C90=""),"",IF(B90&gt;$B$2,IF(C90&gt;=$D$2,"1. Alta importancia / Alto monto","2. Alta importancia / Bajo monto"),IF(C90&gt;=$D$2,"3. Baja importancia / Alto monto","4. Baja importancia / Bajo monto")))</f>
        <v/>
      </c>
      <c r="E90" t="n">
        <v>87</v>
      </c>
      <c r="F90" s="6" t="inlineStr">
        <is>
          <t>Ambos</t>
        </is>
      </c>
      <c r="G90" s="7" t="n">
        <v>244000</v>
      </c>
    </row>
    <row r="91">
      <c r="A91" t="inlineStr">
        <is>
          <t>ACOSTA SERVICIOS ESPECIALES, C.A. (ASECA)</t>
        </is>
      </c>
      <c r="B91" t="n">
        <v>9</v>
      </c>
      <c r="C91" s="7" t="n">
        <v>46000</v>
      </c>
      <c r="D91">
        <f>IF(OR(A91="",B91="",C91=""),"",IF(B91&gt;$B$2,IF(C91&gt;=$D$2,"1. Alta importancia / Alto monto","2. Alta importancia / Bajo monto"),IF(C91&gt;=$D$2,"3. Baja importancia / Alto monto","4. Baja importancia / Bajo monto")))</f>
        <v/>
      </c>
      <c r="E91" t="n">
        <v>88</v>
      </c>
      <c r="F91" s="6" t="inlineStr">
        <is>
          <t>Prestador de servicios</t>
        </is>
      </c>
      <c r="G91" s="7" t="n">
        <v>254000</v>
      </c>
    </row>
    <row r="92">
      <c r="A92" t="inlineStr">
        <is>
          <t>TOP DRIVE, S.A.</t>
        </is>
      </c>
      <c r="B92" t="n">
        <v>10</v>
      </c>
      <c r="C92" s="7" t="n">
        <v>57000</v>
      </c>
      <c r="D92">
        <f>IF(OR(A92="",B92="",C92=""),"",IF(B92&gt;$B$2,IF(C92&gt;=$D$2,"1. Alta importancia / Alto monto","2. Alta importancia / Bajo monto"),IF(C92&gt;=$D$2,"3. Baja importancia / Alto monto","4. Baja importancia / Bajo monto")))</f>
        <v/>
      </c>
      <c r="E92" t="n">
        <v>89</v>
      </c>
      <c r="F92" s="6" t="inlineStr">
        <is>
          <t>Proveedor</t>
        </is>
      </c>
      <c r="G92" s="7" t="n">
        <v>397000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Cómo actualizar el dashboard de Cuentas por Pagar</t>
        </is>
      </c>
    </row>
    <row r="2">
      <c r="A2" t="inlineStr"/>
    </row>
    <row r="3">
      <c r="A3" t="inlineStr">
        <is>
          <t>1. Mantén la hoja "Empresas" y la fila de encabezados (fila 3). El orden de las columnas puede cambiar; el dashboard las reconoce por su nombre.</t>
        </is>
      </c>
    </row>
    <row r="4">
      <c r="A4" t="inlineStr">
        <is>
          <t>2. Columnas que lee el dashboard: Empresa · Importancia operativa · Monto ($) (deuda vigente) · Tipo · Histórico pagado ($).</t>
        </is>
      </c>
    </row>
    <row r="5">
      <c r="A5" t="inlineStr">
        <is>
          <t>3. Tipo admite: Proveedor, Prestador de servicios, Ambos (también "Proveedor + Prestador").</t>
        </is>
      </c>
    </row>
    <row r="6">
      <c r="A6" t="inlineStr">
        <is>
          <t>4. "Histórico pagado ($)" es opcional: si existe, el gráfico permite usarlo en el eje vertical (metodología de la minuta del 26-10-2026).</t>
        </is>
      </c>
    </row>
    <row r="7">
      <c r="A7" t="inlineStr">
        <is>
          <t>5. La divisoria de importancia se toma de la celda B2. La divisoria de monto se calcula como el promedio de la deuda.</t>
        </is>
      </c>
    </row>
    <row r="8">
      <c r="A8" t="inlineStr">
        <is>
          <t>6. Guarda el archivo como data/Matriz_Contratistas.xlsx dentro del repositorio y súbelo a GitHub.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2026-10-28T13:29:05Z</dcterms:created>
  <dcterms:modified xmlns:dcterms="http://purl.org/dc/terms/" xmlns:xsi="http://www.w3.org/2001/XMLSchema-instance" xsi:type="dcterms:W3CDTF">2026-10-28T13:29:05Z</dcterms:modified>
</cp:coreProperties>
</file>